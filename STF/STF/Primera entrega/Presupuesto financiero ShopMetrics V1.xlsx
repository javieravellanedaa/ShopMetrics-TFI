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Javier\UAI\UAI - SAP\STF\STF\Primera entrega\"/>
    </mc:Choice>
  </mc:AlternateContent>
  <xr:revisionPtr revIDLastSave="0" documentId="13_ncr:1_{2DC0F21D-E5D4-4CA4-A73B-093D9FE01098}" xr6:coauthVersionLast="47" xr6:coauthVersionMax="47" xr10:uidLastSave="{00000000-0000-0000-0000-000000000000}"/>
  <bookViews>
    <workbookView xWindow="732" yWindow="732" windowWidth="17280" windowHeight="8880" xr2:uid="{00000000-000D-0000-FFFF-FFFF00000000}"/>
  </bookViews>
  <sheets>
    <sheet name="Portada" sheetId="1" r:id="rId1"/>
    <sheet name="Indice" sheetId="2" r:id="rId2"/>
    <sheet name="Hipótesis" sheetId="3" r:id="rId3"/>
    <sheet name="Proy. ventas" sheetId="4" r:id="rId4"/>
    <sheet name="Anexo capacidad operativa" sheetId="5" r:id="rId5"/>
    <sheet name="Mod. ingresos" sheetId="6" r:id="rId6"/>
    <sheet name="Costos fijos" sheetId="7" r:id="rId7"/>
    <sheet name="Costos variables" sheetId="8" r:id="rId8"/>
    <sheet name="Costos RRHH" sheetId="9" r:id="rId9"/>
    <sheet name="Mod. egresos" sheetId="10" r:id="rId10"/>
    <sheet name="Mod. inversión" sheetId="11" r:id="rId11"/>
    <sheet name="Amortizaciones" sheetId="12" r:id="rId12"/>
    <sheet name="Presupuesto financiero" sheetId="13" r:id="rId13"/>
    <sheet name="Estructura" sheetId="14" r:id="rId14"/>
    <sheet name="Riesgos" sheetId="15" r:id="rId15"/>
    <sheet name="Matriz de riesgos" sheetId="16" r:id="rId16"/>
    <sheet name="Cuadro de evaluación de riesgos" sheetId="17" r:id="rId17"/>
    <sheet name="Escenario 1" sheetId="18" r:id="rId18"/>
    <sheet name="Escenario 2" sheetId="19" r:id="rId19"/>
    <sheet name="Escenario 3" sheetId="20" r:id="rId20"/>
    <sheet name="Plan de Contingencia"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16" l="1"/>
  <c r="I27" i="16"/>
  <c r="I24" i="16"/>
  <c r="I21" i="16"/>
  <c r="I18" i="16"/>
  <c r="I15" i="16"/>
  <c r="I12" i="16"/>
  <c r="I9" i="16"/>
  <c r="I6" i="16"/>
  <c r="I3" i="16"/>
  <c r="D5" i="10"/>
  <c r="C5" i="10"/>
  <c r="B5" i="10"/>
  <c r="N67" i="9"/>
  <c r="O67" i="9" s="1"/>
  <c r="M67" i="9"/>
  <c r="L67" i="9"/>
  <c r="K67" i="9"/>
  <c r="J67" i="9"/>
  <c r="I67" i="9"/>
  <c r="H67" i="9"/>
  <c r="G67" i="9"/>
  <c r="F67" i="9"/>
  <c r="E67" i="9"/>
  <c r="D67" i="9"/>
  <c r="C67" i="9"/>
  <c r="O66" i="9"/>
  <c r="O65" i="9"/>
  <c r="O64" i="9"/>
  <c r="O63" i="9"/>
  <c r="O62" i="9"/>
  <c r="N49" i="9"/>
  <c r="O49" i="9" s="1"/>
  <c r="M49" i="9"/>
  <c r="L49" i="9"/>
  <c r="K49" i="9"/>
  <c r="J49" i="9"/>
  <c r="I49" i="9"/>
  <c r="H49" i="9"/>
  <c r="G49" i="9"/>
  <c r="F49" i="9"/>
  <c r="E49" i="9"/>
  <c r="D49" i="9"/>
  <c r="C49" i="9"/>
  <c r="O48" i="9"/>
  <c r="O47" i="9"/>
  <c r="O46" i="9"/>
  <c r="O45" i="9"/>
  <c r="O44" i="9"/>
  <c r="N31" i="9"/>
  <c r="O31" i="9" s="1"/>
  <c r="M31" i="9"/>
  <c r="L31" i="9"/>
  <c r="K31" i="9"/>
  <c r="J31" i="9"/>
  <c r="I31" i="9"/>
  <c r="H31" i="9"/>
  <c r="G31" i="9"/>
  <c r="F31" i="9"/>
  <c r="E31" i="9"/>
  <c r="D31" i="9"/>
  <c r="C31" i="9"/>
  <c r="O30" i="9"/>
  <c r="O29" i="9"/>
  <c r="O28" i="9"/>
  <c r="O27" i="9"/>
  <c r="O26" i="9"/>
  <c r="J20" i="9"/>
  <c r="I20" i="9"/>
  <c r="H20" i="9"/>
  <c r="G20" i="9"/>
  <c r="F20" i="9"/>
  <c r="E20" i="9"/>
  <c r="J19" i="9"/>
  <c r="I19" i="9"/>
  <c r="H19" i="9"/>
  <c r="G19" i="9"/>
  <c r="F19" i="9"/>
  <c r="E19" i="9"/>
  <c r="J18" i="9"/>
  <c r="I18" i="9"/>
  <c r="H18" i="9"/>
  <c r="G18" i="9"/>
  <c r="F18" i="9"/>
  <c r="E18" i="9"/>
  <c r="K18" i="9" s="1"/>
  <c r="L18" i="9" s="1"/>
  <c r="J17" i="9"/>
  <c r="I17" i="9"/>
  <c r="H17" i="9"/>
  <c r="G17" i="9"/>
  <c r="F17" i="9"/>
  <c r="E17" i="9"/>
  <c r="J16" i="9"/>
  <c r="I16" i="9"/>
  <c r="H16" i="9"/>
  <c r="G16" i="9"/>
  <c r="F16" i="9"/>
  <c r="E16" i="9"/>
  <c r="D6" i="9"/>
  <c r="C6" i="9"/>
  <c r="B6" i="9"/>
  <c r="Z70" i="8"/>
  <c r="AA70" i="8" s="1"/>
  <c r="X70" i="8"/>
  <c r="Y70" i="8" s="1"/>
  <c r="V70" i="8"/>
  <c r="W70" i="8" s="1"/>
  <c r="T70" i="8"/>
  <c r="U70" i="8" s="1"/>
  <c r="R70" i="8"/>
  <c r="S70" i="8" s="1"/>
  <c r="P70" i="8"/>
  <c r="Q70" i="8" s="1"/>
  <c r="N70" i="8"/>
  <c r="O70" i="8" s="1"/>
  <c r="L70" i="8"/>
  <c r="M70" i="8" s="1"/>
  <c r="J70" i="8"/>
  <c r="K70" i="8" s="1"/>
  <c r="I70" i="8"/>
  <c r="H70" i="8"/>
  <c r="F70" i="8"/>
  <c r="G70" i="8" s="1"/>
  <c r="D70" i="8"/>
  <c r="E70" i="8" s="1"/>
  <c r="Z69" i="8"/>
  <c r="X69" i="8"/>
  <c r="V69" i="8"/>
  <c r="T69" i="8"/>
  <c r="R69" i="8"/>
  <c r="P69" i="8"/>
  <c r="N69" i="8"/>
  <c r="O69" i="8" s="1"/>
  <c r="L69" i="8"/>
  <c r="J69" i="8"/>
  <c r="H69" i="8"/>
  <c r="F69" i="8"/>
  <c r="D69" i="8"/>
  <c r="C69" i="8"/>
  <c r="W69" i="8" s="1"/>
  <c r="Z68" i="8"/>
  <c r="X68" i="8"/>
  <c r="V68" i="8"/>
  <c r="U68" i="8"/>
  <c r="T68" i="8"/>
  <c r="R68" i="8"/>
  <c r="P68" i="8"/>
  <c r="Q68" i="8" s="1"/>
  <c r="N68" i="8"/>
  <c r="O68" i="8" s="1"/>
  <c r="L68" i="8"/>
  <c r="J68" i="8"/>
  <c r="I68" i="8"/>
  <c r="H68" i="8"/>
  <c r="F68" i="8"/>
  <c r="E68" i="8"/>
  <c r="D68" i="8"/>
  <c r="C68" i="8"/>
  <c r="W68" i="8" s="1"/>
  <c r="Z67" i="8"/>
  <c r="X67" i="8"/>
  <c r="Y67" i="8" s="1"/>
  <c r="V67" i="8"/>
  <c r="W67" i="8" s="1"/>
  <c r="T67" i="8"/>
  <c r="S67" i="8"/>
  <c r="R67" i="8"/>
  <c r="Q67" i="8"/>
  <c r="P67" i="8"/>
  <c r="N67" i="8"/>
  <c r="O67" i="8" s="1"/>
  <c r="L67" i="8"/>
  <c r="J67" i="8"/>
  <c r="H67" i="8"/>
  <c r="I67" i="8" s="1"/>
  <c r="F67" i="8"/>
  <c r="D67" i="8"/>
  <c r="C67" i="8"/>
  <c r="AA67" i="8" s="1"/>
  <c r="Z66" i="8"/>
  <c r="AA66" i="8" s="1"/>
  <c r="Y66" i="8"/>
  <c r="X66" i="8"/>
  <c r="V66" i="8"/>
  <c r="W66" i="8" s="1"/>
  <c r="T66" i="8"/>
  <c r="U66" i="8" s="1"/>
  <c r="S66" i="8"/>
  <c r="R66" i="8"/>
  <c r="P66" i="8"/>
  <c r="Q66" i="8" s="1"/>
  <c r="O66" i="8"/>
  <c r="N66" i="8"/>
  <c r="L66" i="8"/>
  <c r="M66" i="8" s="1"/>
  <c r="J66" i="8"/>
  <c r="K66" i="8" s="1"/>
  <c r="I66" i="8"/>
  <c r="H66" i="8"/>
  <c r="F66" i="8"/>
  <c r="G66" i="8" s="1"/>
  <c r="D66" i="8"/>
  <c r="E66" i="8" s="1"/>
  <c r="Z62" i="8"/>
  <c r="AA62" i="8" s="1"/>
  <c r="Y62" i="8"/>
  <c r="X62" i="8"/>
  <c r="V62" i="8"/>
  <c r="W62" i="8" s="1"/>
  <c r="T62" i="8"/>
  <c r="U62" i="8" s="1"/>
  <c r="S62" i="8"/>
  <c r="R62" i="8"/>
  <c r="P62" i="8"/>
  <c r="Q62" i="8" s="1"/>
  <c r="N62" i="8"/>
  <c r="O62" i="8" s="1"/>
  <c r="L62" i="8"/>
  <c r="M62" i="8" s="1"/>
  <c r="J62" i="8"/>
  <c r="K62" i="8" s="1"/>
  <c r="I62" i="8"/>
  <c r="H62" i="8"/>
  <c r="F62" i="8"/>
  <c r="G62" i="8" s="1"/>
  <c r="E62" i="8"/>
  <c r="D62" i="8"/>
  <c r="Z61" i="8"/>
  <c r="AA61" i="8" s="1"/>
  <c r="X61" i="8"/>
  <c r="Y61" i="8" s="1"/>
  <c r="V61" i="8"/>
  <c r="W61" i="8" s="1"/>
  <c r="T61" i="8"/>
  <c r="U61" i="8" s="1"/>
  <c r="R61" i="8"/>
  <c r="S61" i="8" s="1"/>
  <c r="P61" i="8"/>
  <c r="Q61" i="8" s="1"/>
  <c r="O61" i="8"/>
  <c r="N61" i="8"/>
  <c r="L61" i="8"/>
  <c r="M61" i="8" s="1"/>
  <c r="J61" i="8"/>
  <c r="K61" i="8" s="1"/>
  <c r="H61" i="8"/>
  <c r="I61" i="8" s="1"/>
  <c r="G61" i="8"/>
  <c r="F61" i="8"/>
  <c r="E61" i="8"/>
  <c r="D61" i="8"/>
  <c r="AA47" i="8"/>
  <c r="Z47" i="8"/>
  <c r="X47" i="8"/>
  <c r="Y47" i="8" s="1"/>
  <c r="V47" i="8"/>
  <c r="W47" i="8" s="1"/>
  <c r="U47" i="8"/>
  <c r="T47" i="8"/>
  <c r="S47" i="8"/>
  <c r="R47" i="8"/>
  <c r="P47" i="8"/>
  <c r="Q47" i="8" s="1"/>
  <c r="N47" i="8"/>
  <c r="O47" i="8" s="1"/>
  <c r="M47" i="8"/>
  <c r="L47" i="8"/>
  <c r="J47" i="8"/>
  <c r="K47" i="8" s="1"/>
  <c r="H47" i="8"/>
  <c r="I47" i="8" s="1"/>
  <c r="F47" i="8"/>
  <c r="G47" i="8" s="1"/>
  <c r="E47" i="8"/>
  <c r="D47" i="8"/>
  <c r="Z46" i="8"/>
  <c r="X46" i="8"/>
  <c r="Y46" i="8" s="1"/>
  <c r="V46" i="8"/>
  <c r="T46" i="8"/>
  <c r="U46" i="8" s="1"/>
  <c r="R46" i="8"/>
  <c r="P46" i="8"/>
  <c r="Q46" i="8" s="1"/>
  <c r="N46" i="8"/>
  <c r="L46" i="8"/>
  <c r="J46" i="8"/>
  <c r="H46" i="8"/>
  <c r="F46" i="8"/>
  <c r="G46" i="8" s="1"/>
  <c r="E46" i="8"/>
  <c r="D46" i="8"/>
  <c r="C46" i="8"/>
  <c r="AA46" i="8" s="1"/>
  <c r="Z45" i="8"/>
  <c r="X45" i="8"/>
  <c r="Y45" i="8" s="1"/>
  <c r="V45" i="8"/>
  <c r="U45" i="8"/>
  <c r="T45" i="8"/>
  <c r="R45" i="8"/>
  <c r="S45" i="8" s="1"/>
  <c r="P45" i="8"/>
  <c r="N45" i="8"/>
  <c r="O45" i="8" s="1"/>
  <c r="L45" i="8"/>
  <c r="J45" i="8"/>
  <c r="K45" i="8" s="1"/>
  <c r="H45" i="8"/>
  <c r="I45" i="8" s="1"/>
  <c r="G45" i="8"/>
  <c r="F45" i="8"/>
  <c r="D45" i="8"/>
  <c r="E45" i="8" s="1"/>
  <c r="C45" i="8"/>
  <c r="W45" i="8" s="1"/>
  <c r="Z44" i="8"/>
  <c r="X44" i="8"/>
  <c r="V44" i="8"/>
  <c r="T44" i="8"/>
  <c r="R44" i="8"/>
  <c r="P44" i="8"/>
  <c r="N44" i="8"/>
  <c r="O44" i="8" s="1"/>
  <c r="L44" i="8"/>
  <c r="J44" i="8"/>
  <c r="H44" i="8"/>
  <c r="F44" i="8"/>
  <c r="D44" i="8"/>
  <c r="C44" i="8"/>
  <c r="W44" i="8" s="1"/>
  <c r="AA43" i="8"/>
  <c r="Z43" i="8"/>
  <c r="Y43" i="8"/>
  <c r="X43" i="8"/>
  <c r="V43" i="8"/>
  <c r="W43" i="8" s="1"/>
  <c r="T43" i="8"/>
  <c r="U43" i="8" s="1"/>
  <c r="R43" i="8"/>
  <c r="S43" i="8" s="1"/>
  <c r="Q43" i="8"/>
  <c r="P43" i="8"/>
  <c r="N43" i="8"/>
  <c r="O43" i="8" s="1"/>
  <c r="L43" i="8"/>
  <c r="M43" i="8" s="1"/>
  <c r="J43" i="8"/>
  <c r="K43" i="8" s="1"/>
  <c r="I43" i="8"/>
  <c r="H43" i="8"/>
  <c r="F43" i="8"/>
  <c r="G43" i="8" s="1"/>
  <c r="D43" i="8"/>
  <c r="E43" i="8" s="1"/>
  <c r="AA39" i="8"/>
  <c r="Z39" i="8"/>
  <c r="X39" i="8"/>
  <c r="Y39" i="8" s="1"/>
  <c r="V39" i="8"/>
  <c r="W39" i="8" s="1"/>
  <c r="U39" i="8"/>
  <c r="T39" i="8"/>
  <c r="S39" i="8"/>
  <c r="R39" i="8"/>
  <c r="P39" i="8"/>
  <c r="Q39" i="8" s="1"/>
  <c r="N39" i="8"/>
  <c r="O39" i="8" s="1"/>
  <c r="L39" i="8"/>
  <c r="M39" i="8" s="1"/>
  <c r="K39" i="8"/>
  <c r="J39" i="8"/>
  <c r="H39" i="8"/>
  <c r="I39" i="8" s="1"/>
  <c r="F39" i="8"/>
  <c r="G39" i="8" s="1"/>
  <c r="E39" i="8"/>
  <c r="D39" i="8"/>
  <c r="Z38" i="8"/>
  <c r="AA38" i="8" s="1"/>
  <c r="X38" i="8"/>
  <c r="Y38" i="8" s="1"/>
  <c r="V38" i="8"/>
  <c r="W38" i="8" s="1"/>
  <c r="T38" i="8"/>
  <c r="U38" i="8" s="1"/>
  <c r="S38" i="8"/>
  <c r="R38" i="8"/>
  <c r="Q38" i="8"/>
  <c r="P38" i="8"/>
  <c r="N38" i="8"/>
  <c r="O38" i="8" s="1"/>
  <c r="L38" i="8"/>
  <c r="M38" i="8" s="1"/>
  <c r="J38" i="8"/>
  <c r="K38" i="8" s="1"/>
  <c r="H38" i="8"/>
  <c r="I38" i="8" s="1"/>
  <c r="G38" i="8"/>
  <c r="F38" i="8"/>
  <c r="D38" i="8"/>
  <c r="E38" i="8" s="1"/>
  <c r="Z24" i="8"/>
  <c r="AA24" i="8" s="1"/>
  <c r="Y24" i="8"/>
  <c r="X24" i="8"/>
  <c r="V24" i="8"/>
  <c r="W24" i="8" s="1"/>
  <c r="U24" i="8"/>
  <c r="T24" i="8"/>
  <c r="R24" i="8"/>
  <c r="S24" i="8" s="1"/>
  <c r="P24" i="8"/>
  <c r="Q24" i="8" s="1"/>
  <c r="O24" i="8"/>
  <c r="N24" i="8"/>
  <c r="L24" i="8"/>
  <c r="M24" i="8" s="1"/>
  <c r="J24" i="8"/>
  <c r="K24" i="8" s="1"/>
  <c r="H24" i="8"/>
  <c r="I24" i="8" s="1"/>
  <c r="F24" i="8"/>
  <c r="G24" i="8" s="1"/>
  <c r="D24" i="8"/>
  <c r="E24" i="8" s="1"/>
  <c r="Z23" i="8"/>
  <c r="X23" i="8"/>
  <c r="V23" i="8"/>
  <c r="T23" i="8"/>
  <c r="R23" i="8"/>
  <c r="P23" i="8"/>
  <c r="N23" i="8"/>
  <c r="L23" i="8"/>
  <c r="J23" i="8"/>
  <c r="H23" i="8"/>
  <c r="F23" i="8"/>
  <c r="D23" i="8"/>
  <c r="C23" i="8"/>
  <c r="Z22" i="8"/>
  <c r="AA22" i="8" s="1"/>
  <c r="X22" i="8"/>
  <c r="V22" i="8"/>
  <c r="T22" i="8"/>
  <c r="R22" i="8"/>
  <c r="S22" i="8" s="1"/>
  <c r="P22" i="8"/>
  <c r="Q22" i="8" s="1"/>
  <c r="O22" i="8"/>
  <c r="N22" i="8"/>
  <c r="L22" i="8"/>
  <c r="J22" i="8"/>
  <c r="H22" i="8"/>
  <c r="G22" i="8"/>
  <c r="F22" i="8"/>
  <c r="D22" i="8"/>
  <c r="C22" i="8"/>
  <c r="U22" i="8" s="1"/>
  <c r="Z21" i="8"/>
  <c r="X21" i="8"/>
  <c r="V21" i="8"/>
  <c r="T21" i="8"/>
  <c r="R21" i="8"/>
  <c r="S21" i="8" s="1"/>
  <c r="P21" i="8"/>
  <c r="N21" i="8"/>
  <c r="L21" i="8"/>
  <c r="J21" i="8"/>
  <c r="K21" i="8" s="1"/>
  <c r="H21" i="8"/>
  <c r="F21" i="8"/>
  <c r="D21" i="8"/>
  <c r="C21" i="8"/>
  <c r="I21" i="8" s="1"/>
  <c r="AA20" i="8"/>
  <c r="Z20" i="8"/>
  <c r="X20" i="8"/>
  <c r="Y20" i="8" s="1"/>
  <c r="W20" i="8"/>
  <c r="V20" i="8"/>
  <c r="T20" i="8"/>
  <c r="U20" i="8" s="1"/>
  <c r="R20" i="8"/>
  <c r="S20" i="8" s="1"/>
  <c r="Q20" i="8"/>
  <c r="P20" i="8"/>
  <c r="O20" i="8"/>
  <c r="N20" i="8"/>
  <c r="L20" i="8"/>
  <c r="M20" i="8" s="1"/>
  <c r="K20" i="8"/>
  <c r="J20" i="8"/>
  <c r="I20" i="8"/>
  <c r="H20" i="8"/>
  <c r="F20" i="8"/>
  <c r="G20" i="8" s="1"/>
  <c r="D20" i="8"/>
  <c r="E20" i="8" s="1"/>
  <c r="Z16" i="8"/>
  <c r="AA16" i="8" s="1"/>
  <c r="X16" i="8"/>
  <c r="Y16" i="8" s="1"/>
  <c r="V16" i="8"/>
  <c r="W16" i="8" s="1"/>
  <c r="U16" i="8"/>
  <c r="T16" i="8"/>
  <c r="R16" i="8"/>
  <c r="S16" i="8" s="1"/>
  <c r="Q16" i="8"/>
  <c r="P16" i="8"/>
  <c r="N16" i="8"/>
  <c r="O16" i="8" s="1"/>
  <c r="L16" i="8"/>
  <c r="M16" i="8" s="1"/>
  <c r="J16" i="8"/>
  <c r="K16" i="8" s="1"/>
  <c r="H16" i="8"/>
  <c r="I16" i="8" s="1"/>
  <c r="F16" i="8"/>
  <c r="G16" i="8" s="1"/>
  <c r="E16" i="8"/>
  <c r="D16" i="8"/>
  <c r="Z15" i="8"/>
  <c r="AA15" i="8" s="1"/>
  <c r="X15" i="8"/>
  <c r="Y15" i="8" s="1"/>
  <c r="W15" i="8"/>
  <c r="V15" i="8"/>
  <c r="T15" i="8"/>
  <c r="U15" i="8" s="1"/>
  <c r="R15" i="8"/>
  <c r="S15" i="8" s="1"/>
  <c r="P15" i="8"/>
  <c r="Q15" i="8" s="1"/>
  <c r="N15" i="8"/>
  <c r="O15" i="8" s="1"/>
  <c r="L15" i="8"/>
  <c r="M15" i="8" s="1"/>
  <c r="K15" i="8"/>
  <c r="J15" i="8"/>
  <c r="I15" i="8"/>
  <c r="H15" i="8"/>
  <c r="G15" i="8"/>
  <c r="F15" i="8"/>
  <c r="D15" i="8"/>
  <c r="E15" i="8" s="1"/>
  <c r="D6" i="8"/>
  <c r="C6" i="8"/>
  <c r="B6" i="8"/>
  <c r="O60" i="7"/>
  <c r="N60" i="7"/>
  <c r="M60" i="7"/>
  <c r="L60" i="7"/>
  <c r="K60" i="7"/>
  <c r="J60" i="7"/>
  <c r="I60" i="7"/>
  <c r="H60" i="7"/>
  <c r="G60" i="7"/>
  <c r="F60" i="7"/>
  <c r="E60" i="7"/>
  <c r="D60" i="7"/>
  <c r="P59" i="7"/>
  <c r="P58" i="7"/>
  <c r="I9" i="7" s="1"/>
  <c r="P57" i="7"/>
  <c r="P56" i="7"/>
  <c r="P55" i="7"/>
  <c r="P54" i="7"/>
  <c r="P53" i="7"/>
  <c r="P52" i="7"/>
  <c r="P51" i="7"/>
  <c r="P50" i="7"/>
  <c r="P49" i="7"/>
  <c r="P48" i="7"/>
  <c r="O42" i="7"/>
  <c r="N42" i="7"/>
  <c r="M42" i="7"/>
  <c r="L42" i="7"/>
  <c r="K42" i="7"/>
  <c r="J42" i="7"/>
  <c r="I42" i="7"/>
  <c r="H42" i="7"/>
  <c r="G42" i="7"/>
  <c r="F42" i="7"/>
  <c r="E42" i="7"/>
  <c r="D42" i="7"/>
  <c r="P41" i="7"/>
  <c r="P40" i="7"/>
  <c r="H9" i="7" s="1"/>
  <c r="P39" i="7"/>
  <c r="P38" i="7"/>
  <c r="P37" i="7"/>
  <c r="P36" i="7"/>
  <c r="P35" i="7"/>
  <c r="P34" i="7"/>
  <c r="P33" i="7"/>
  <c r="P32" i="7"/>
  <c r="P31" i="7"/>
  <c r="P30" i="7"/>
  <c r="O25" i="7"/>
  <c r="N25" i="7"/>
  <c r="M25" i="7"/>
  <c r="L25" i="7"/>
  <c r="K25" i="7"/>
  <c r="J25" i="7"/>
  <c r="I25" i="7"/>
  <c r="H25" i="7"/>
  <c r="G25" i="7"/>
  <c r="F25" i="7"/>
  <c r="E25" i="7"/>
  <c r="D25" i="7"/>
  <c r="P24" i="7"/>
  <c r="P23" i="7"/>
  <c r="G9" i="7" s="1"/>
  <c r="P22" i="7"/>
  <c r="P21" i="7"/>
  <c r="P20" i="7"/>
  <c r="P19" i="7"/>
  <c r="P18" i="7"/>
  <c r="P17" i="7"/>
  <c r="P16" i="7"/>
  <c r="P15" i="7"/>
  <c r="P14" i="7"/>
  <c r="P13" i="7"/>
  <c r="E5" i="7"/>
  <c r="D5" i="7"/>
  <c r="C5" i="7"/>
  <c r="B22" i="6"/>
  <c r="B21" i="6"/>
  <c r="B20" i="6"/>
  <c r="B19" i="6"/>
  <c r="B18" i="6"/>
  <c r="B17" i="6"/>
  <c r="D9" i="6"/>
  <c r="C9" i="6"/>
  <c r="B9" i="6"/>
  <c r="A107" i="5"/>
  <c r="A106" i="5"/>
  <c r="A105" i="5"/>
  <c r="Y104" i="5"/>
  <c r="W104" i="5"/>
  <c r="U104" i="5"/>
  <c r="S104" i="5"/>
  <c r="Q104" i="5"/>
  <c r="O104" i="5"/>
  <c r="M104" i="5"/>
  <c r="K104" i="5"/>
  <c r="I104" i="5"/>
  <c r="G104" i="5"/>
  <c r="E104" i="5"/>
  <c r="C104" i="5"/>
  <c r="A104" i="5"/>
  <c r="Y103" i="5"/>
  <c r="W103" i="5"/>
  <c r="U103" i="5"/>
  <c r="S103" i="5"/>
  <c r="Q103" i="5"/>
  <c r="O103" i="5"/>
  <c r="M103" i="5"/>
  <c r="K103" i="5"/>
  <c r="I103" i="5"/>
  <c r="G103" i="5"/>
  <c r="E103" i="5"/>
  <c r="C103" i="5"/>
  <c r="A103" i="5"/>
  <c r="Y102" i="5"/>
  <c r="W102" i="5"/>
  <c r="U102" i="5"/>
  <c r="S102" i="5"/>
  <c r="Q102" i="5"/>
  <c r="O102" i="5"/>
  <c r="M102" i="5"/>
  <c r="K102" i="5"/>
  <c r="I102" i="5"/>
  <c r="G102" i="5"/>
  <c r="E102" i="5"/>
  <c r="C102" i="5"/>
  <c r="A102" i="5"/>
  <c r="A96" i="5"/>
  <c r="A95" i="5"/>
  <c r="A94" i="5"/>
  <c r="Y93" i="5"/>
  <c r="W93" i="5"/>
  <c r="U93" i="5"/>
  <c r="S93" i="5"/>
  <c r="Q93" i="5"/>
  <c r="O93" i="5"/>
  <c r="M93" i="5"/>
  <c r="K93" i="5"/>
  <c r="I93" i="5"/>
  <c r="G93" i="5"/>
  <c r="E93" i="5"/>
  <c r="C93" i="5"/>
  <c r="A93" i="5"/>
  <c r="Y92" i="5"/>
  <c r="W92" i="5"/>
  <c r="U92" i="5"/>
  <c r="S92" i="5"/>
  <c r="Q92" i="5"/>
  <c r="O92" i="5"/>
  <c r="M92" i="5"/>
  <c r="K92" i="5"/>
  <c r="I92" i="5"/>
  <c r="G92" i="5"/>
  <c r="E92" i="5"/>
  <c r="C92" i="5"/>
  <c r="A92" i="5"/>
  <c r="Y91" i="5"/>
  <c r="W91" i="5"/>
  <c r="U91" i="5"/>
  <c r="S91" i="5"/>
  <c r="Q91" i="5"/>
  <c r="O91" i="5"/>
  <c r="M91" i="5"/>
  <c r="K91" i="5"/>
  <c r="I91" i="5"/>
  <c r="G91" i="5"/>
  <c r="E91" i="5"/>
  <c r="C91" i="5"/>
  <c r="A91" i="5"/>
  <c r="A85" i="5"/>
  <c r="A84" i="5"/>
  <c r="A83" i="5"/>
  <c r="C82" i="5"/>
  <c r="A82" i="5"/>
  <c r="C81" i="5"/>
  <c r="A81" i="5"/>
  <c r="C80" i="5"/>
  <c r="A80" i="5"/>
  <c r="E69" i="5"/>
  <c r="E68" i="5"/>
  <c r="E67" i="5"/>
  <c r="E66" i="5"/>
  <c r="L65" i="5"/>
  <c r="E65" i="5"/>
  <c r="L64" i="5"/>
  <c r="E64" i="5"/>
  <c r="L63" i="5"/>
  <c r="E63" i="5"/>
  <c r="V62" i="5"/>
  <c r="L62" i="5"/>
  <c r="E62" i="5"/>
  <c r="W61" i="5"/>
  <c r="L61" i="5"/>
  <c r="E61" i="5"/>
  <c r="W60" i="5"/>
  <c r="L60" i="5"/>
  <c r="E60" i="5"/>
  <c r="W59" i="5"/>
  <c r="L59" i="5"/>
  <c r="E59" i="5"/>
  <c r="AB58" i="5"/>
  <c r="W58" i="5"/>
  <c r="L58" i="5"/>
  <c r="E58" i="5"/>
  <c r="E50" i="5"/>
  <c r="E49" i="5"/>
  <c r="E48" i="5"/>
  <c r="E47" i="5"/>
  <c r="E46" i="5"/>
  <c r="E45" i="5"/>
  <c r="L44" i="5"/>
  <c r="E44" i="5"/>
  <c r="V43" i="5"/>
  <c r="L43" i="5"/>
  <c r="E43" i="5"/>
  <c r="W42" i="5"/>
  <c r="L42" i="5"/>
  <c r="E42" i="5"/>
  <c r="W41" i="5"/>
  <c r="L41" i="5"/>
  <c r="E41" i="5"/>
  <c r="W40" i="5"/>
  <c r="L40" i="5"/>
  <c r="E40" i="5"/>
  <c r="AB39" i="5"/>
  <c r="W39" i="5"/>
  <c r="L39" i="5"/>
  <c r="E39" i="5"/>
  <c r="E31" i="5"/>
  <c r="E30" i="5"/>
  <c r="E29" i="5"/>
  <c r="E28" i="5"/>
  <c r="E27" i="5"/>
  <c r="E26" i="5"/>
  <c r="E25" i="5"/>
  <c r="L24" i="5"/>
  <c r="E24" i="5"/>
  <c r="L23" i="5"/>
  <c r="E23" i="5"/>
  <c r="AB22" i="5"/>
  <c r="L22" i="5"/>
  <c r="E22" i="5"/>
  <c r="L21" i="5"/>
  <c r="E21" i="5"/>
  <c r="AB20" i="5"/>
  <c r="V20" i="5"/>
  <c r="L20" i="5"/>
  <c r="E20" i="5"/>
  <c r="B10" i="5"/>
  <c r="B12" i="5" s="1"/>
  <c r="AA163" i="4"/>
  <c r="Y163" i="4"/>
  <c r="W163" i="4"/>
  <c r="U163" i="4"/>
  <c r="S163" i="4"/>
  <c r="Q163" i="4"/>
  <c r="O163" i="4"/>
  <c r="M163" i="4"/>
  <c r="K163" i="4"/>
  <c r="I163" i="4"/>
  <c r="G163" i="4"/>
  <c r="E163" i="4"/>
  <c r="C163" i="4"/>
  <c r="AA162" i="4"/>
  <c r="Y162" i="4"/>
  <c r="W162" i="4"/>
  <c r="U162" i="4"/>
  <c r="S162" i="4"/>
  <c r="Q162" i="4"/>
  <c r="O162" i="4"/>
  <c r="M162" i="4"/>
  <c r="K162" i="4"/>
  <c r="I162" i="4"/>
  <c r="G162" i="4"/>
  <c r="E162" i="4"/>
  <c r="C162" i="4"/>
  <c r="AA160" i="4"/>
  <c r="Y160" i="4"/>
  <c r="W160" i="4"/>
  <c r="U160" i="4"/>
  <c r="S160" i="4"/>
  <c r="Q160" i="4"/>
  <c r="O160" i="4"/>
  <c r="M160" i="4"/>
  <c r="K160" i="4"/>
  <c r="I160" i="4"/>
  <c r="G160" i="4"/>
  <c r="E160" i="4"/>
  <c r="AA159" i="4"/>
  <c r="Y159" i="4"/>
  <c r="W159" i="4"/>
  <c r="U159" i="4"/>
  <c r="S159" i="4"/>
  <c r="Q159" i="4"/>
  <c r="O159" i="4"/>
  <c r="M159" i="4"/>
  <c r="K159" i="4"/>
  <c r="I159" i="4"/>
  <c r="G159" i="4"/>
  <c r="E159" i="4"/>
  <c r="AA158" i="4"/>
  <c r="Y158" i="4"/>
  <c r="W158" i="4"/>
  <c r="U158" i="4"/>
  <c r="S158" i="4"/>
  <c r="Q158" i="4"/>
  <c r="O158" i="4"/>
  <c r="M158" i="4"/>
  <c r="K158" i="4"/>
  <c r="I158" i="4"/>
  <c r="G158" i="4"/>
  <c r="E158" i="4"/>
  <c r="B149" i="4"/>
  <c r="A149" i="4"/>
  <c r="B148" i="4"/>
  <c r="A148" i="4"/>
  <c r="B147" i="4"/>
  <c r="A147" i="4"/>
  <c r="C146" i="4"/>
  <c r="C160" i="4" s="1"/>
  <c r="B146" i="4"/>
  <c r="D146" i="4" s="1"/>
  <c r="E19" i="6" s="1"/>
  <c r="A146" i="4"/>
  <c r="C145" i="4"/>
  <c r="C159" i="4" s="1"/>
  <c r="B145" i="4"/>
  <c r="D145" i="4" s="1"/>
  <c r="E18" i="6" s="1"/>
  <c r="A145" i="4"/>
  <c r="R144" i="4"/>
  <c r="P144" i="4"/>
  <c r="F144" i="4"/>
  <c r="C144" i="4"/>
  <c r="C158" i="4" s="1"/>
  <c r="B144" i="4"/>
  <c r="T144" i="4" s="1"/>
  <c r="A144" i="4"/>
  <c r="AA101" i="4"/>
  <c r="Y101" i="4"/>
  <c r="W101" i="4"/>
  <c r="U101" i="4"/>
  <c r="S101" i="4"/>
  <c r="Q101" i="4"/>
  <c r="O101" i="4"/>
  <c r="M101" i="4"/>
  <c r="K101" i="4"/>
  <c r="I101" i="4"/>
  <c r="G101" i="4"/>
  <c r="E101" i="4"/>
  <c r="C101" i="4"/>
  <c r="AA100" i="4"/>
  <c r="Y100" i="4"/>
  <c r="W100" i="4"/>
  <c r="U100" i="4"/>
  <c r="S100" i="4"/>
  <c r="Q100" i="4"/>
  <c r="O100" i="4"/>
  <c r="M100" i="4"/>
  <c r="K100" i="4"/>
  <c r="I100" i="4"/>
  <c r="G100" i="4"/>
  <c r="E100" i="4"/>
  <c r="C100" i="4"/>
  <c r="AA98" i="4"/>
  <c r="Y98" i="4"/>
  <c r="W98" i="4"/>
  <c r="U98" i="4"/>
  <c r="S98" i="4"/>
  <c r="Q98" i="4"/>
  <c r="O98" i="4"/>
  <c r="M98" i="4"/>
  <c r="K98" i="4"/>
  <c r="I98" i="4"/>
  <c r="G98" i="4"/>
  <c r="E98" i="4"/>
  <c r="AA97" i="4"/>
  <c r="Y97" i="4"/>
  <c r="W97" i="4"/>
  <c r="U97" i="4"/>
  <c r="S97" i="4"/>
  <c r="Q97" i="4"/>
  <c r="O97" i="4"/>
  <c r="M97" i="4"/>
  <c r="K97" i="4"/>
  <c r="I97" i="4"/>
  <c r="G97" i="4"/>
  <c r="E97" i="4"/>
  <c r="C97" i="4"/>
  <c r="AA96" i="4"/>
  <c r="Y96" i="4"/>
  <c r="W96" i="4"/>
  <c r="U96" i="4"/>
  <c r="S96" i="4"/>
  <c r="Q96" i="4"/>
  <c r="O96" i="4"/>
  <c r="M96" i="4"/>
  <c r="K96" i="4"/>
  <c r="I96" i="4"/>
  <c r="G96" i="4"/>
  <c r="E96" i="4"/>
  <c r="B87" i="4"/>
  <c r="A87" i="4"/>
  <c r="B86" i="4"/>
  <c r="A86" i="4"/>
  <c r="B85" i="4"/>
  <c r="A85" i="4"/>
  <c r="C84" i="4"/>
  <c r="C98" i="4" s="1"/>
  <c r="B84" i="4"/>
  <c r="N84" i="4" s="1"/>
  <c r="A84" i="4"/>
  <c r="X83" i="4"/>
  <c r="P83" i="4"/>
  <c r="L83" i="4"/>
  <c r="J83" i="4"/>
  <c r="H83" i="4"/>
  <c r="C83" i="4"/>
  <c r="B83" i="4"/>
  <c r="N83" i="4" s="1"/>
  <c r="A83" i="4"/>
  <c r="AB82" i="4"/>
  <c r="Z82" i="4"/>
  <c r="X82" i="4"/>
  <c r="T82" i="4"/>
  <c r="P82" i="4"/>
  <c r="L82" i="4"/>
  <c r="J82" i="4"/>
  <c r="H82" i="4"/>
  <c r="F82" i="4"/>
  <c r="C82" i="4"/>
  <c r="C96" i="4" s="1"/>
  <c r="B82" i="4"/>
  <c r="N82" i="4" s="1"/>
  <c r="A82" i="4"/>
  <c r="AA38" i="4"/>
  <c r="Y38" i="4"/>
  <c r="W38" i="4"/>
  <c r="U38" i="4"/>
  <c r="S38" i="4"/>
  <c r="Q38" i="4"/>
  <c r="O38" i="4"/>
  <c r="M38" i="4"/>
  <c r="K38" i="4"/>
  <c r="I38" i="4"/>
  <c r="G38" i="4"/>
  <c r="E38" i="4"/>
  <c r="C38" i="4"/>
  <c r="AA37" i="4"/>
  <c r="Y37" i="4"/>
  <c r="W37" i="4"/>
  <c r="U37" i="4"/>
  <c r="S37" i="4"/>
  <c r="Q37" i="4"/>
  <c r="O37" i="4"/>
  <c r="M37" i="4"/>
  <c r="K37" i="4"/>
  <c r="I37" i="4"/>
  <c r="G37" i="4"/>
  <c r="E37" i="4"/>
  <c r="C37" i="4"/>
  <c r="AA35" i="4"/>
  <c r="Y82" i="5" s="1"/>
  <c r="Y35" i="4"/>
  <c r="W82" i="5" s="1"/>
  <c r="W35" i="4"/>
  <c r="U82" i="5" s="1"/>
  <c r="U35" i="4"/>
  <c r="S82" i="5" s="1"/>
  <c r="S35" i="4"/>
  <c r="Q82" i="5" s="1"/>
  <c r="Q35" i="4"/>
  <c r="O82" i="5" s="1"/>
  <c r="O35" i="4"/>
  <c r="M82" i="5" s="1"/>
  <c r="M35" i="4"/>
  <c r="K82" i="5" s="1"/>
  <c r="K35" i="4"/>
  <c r="I82" i="5" s="1"/>
  <c r="I35" i="4"/>
  <c r="G82" i="5" s="1"/>
  <c r="G35" i="4"/>
  <c r="E82" i="5" s="1"/>
  <c r="E35" i="4"/>
  <c r="AA34" i="4"/>
  <c r="Y81" i="5" s="1"/>
  <c r="Y34" i="4"/>
  <c r="W81" i="5" s="1"/>
  <c r="W34" i="4"/>
  <c r="U81" i="5" s="1"/>
  <c r="U34" i="4"/>
  <c r="S81" i="5" s="1"/>
  <c r="S34" i="4"/>
  <c r="Q81" i="5" s="1"/>
  <c r="Q34" i="4"/>
  <c r="O81" i="5" s="1"/>
  <c r="O34" i="4"/>
  <c r="M81" i="5" s="1"/>
  <c r="M34" i="4"/>
  <c r="K81" i="5" s="1"/>
  <c r="K34" i="4"/>
  <c r="I81" i="5" s="1"/>
  <c r="I34" i="4"/>
  <c r="G81" i="5" s="1"/>
  <c r="G34" i="4"/>
  <c r="E81" i="5" s="1"/>
  <c r="E34" i="4"/>
  <c r="AA33" i="4"/>
  <c r="Y80" i="5" s="1"/>
  <c r="Y33" i="4"/>
  <c r="W80" i="5" s="1"/>
  <c r="W33" i="4"/>
  <c r="U80" i="5" s="1"/>
  <c r="U33" i="4"/>
  <c r="S80" i="5" s="1"/>
  <c r="S33" i="4"/>
  <c r="Q80" i="5" s="1"/>
  <c r="Q33" i="4"/>
  <c r="O80" i="5" s="1"/>
  <c r="O33" i="4"/>
  <c r="M80" i="5" s="1"/>
  <c r="M33" i="4"/>
  <c r="K80" i="5" s="1"/>
  <c r="K33" i="4"/>
  <c r="I80" i="5" s="1"/>
  <c r="I33" i="4"/>
  <c r="G80" i="5" s="1"/>
  <c r="G33" i="4"/>
  <c r="E80" i="5" s="1"/>
  <c r="E33" i="4"/>
  <c r="G24" i="4"/>
  <c r="E85" i="5" s="1"/>
  <c r="E24" i="4"/>
  <c r="C85" i="5" s="1"/>
  <c r="B24" i="4"/>
  <c r="A24" i="4"/>
  <c r="E23" i="4"/>
  <c r="C84" i="5" s="1"/>
  <c r="B23" i="4"/>
  <c r="A23" i="4"/>
  <c r="G22" i="4"/>
  <c r="E22" i="4"/>
  <c r="B22" i="4"/>
  <c r="A22" i="4"/>
  <c r="Z21" i="4"/>
  <c r="C21" i="4"/>
  <c r="C35" i="4" s="1"/>
  <c r="B21" i="4"/>
  <c r="T21" i="4" s="1"/>
  <c r="A21" i="4"/>
  <c r="Z20" i="4"/>
  <c r="V20" i="4"/>
  <c r="N20" i="4"/>
  <c r="L20" i="4"/>
  <c r="J20" i="4"/>
  <c r="F20" i="4"/>
  <c r="C20" i="4"/>
  <c r="C34" i="4" s="1"/>
  <c r="B20" i="4"/>
  <c r="T20" i="4" s="1"/>
  <c r="A20" i="4"/>
  <c r="V19" i="4"/>
  <c r="N19" i="4"/>
  <c r="L19" i="4"/>
  <c r="J19" i="4"/>
  <c r="C19" i="4"/>
  <c r="C33" i="4" s="1"/>
  <c r="B19" i="4"/>
  <c r="T19" i="4" s="1"/>
  <c r="A19" i="4"/>
  <c r="D7" i="4"/>
  <c r="C7" i="4"/>
  <c r="B7" i="4"/>
  <c r="D26" i="3"/>
  <c r="D12" i="3"/>
  <c r="D24" i="3" s="1"/>
  <c r="AB21" i="4" l="1"/>
  <c r="AB19" i="4"/>
  <c r="L21" i="4"/>
  <c r="L84" i="4"/>
  <c r="D83" i="4"/>
  <c r="D18" i="6" s="1"/>
  <c r="X84" i="4"/>
  <c r="E32" i="5"/>
  <c r="L32" i="5"/>
  <c r="Y44" i="8"/>
  <c r="F21" i="4"/>
  <c r="F84" i="4"/>
  <c r="N21" i="4"/>
  <c r="Z83" i="4"/>
  <c r="D25" i="3"/>
  <c r="D6" i="7" s="1"/>
  <c r="F19" i="4"/>
  <c r="AB20" i="4"/>
  <c r="V21" i="4"/>
  <c r="V82" i="4"/>
  <c r="F83" i="4"/>
  <c r="AB83" i="4"/>
  <c r="AB84" i="4"/>
  <c r="L51" i="5"/>
  <c r="L52" i="5" s="1"/>
  <c r="L70" i="5"/>
  <c r="F85" i="5" s="1"/>
  <c r="AB20" i="8"/>
  <c r="U21" i="8"/>
  <c r="G23" i="8"/>
  <c r="W23" i="8"/>
  <c r="E44" i="8"/>
  <c r="AA44" i="8"/>
  <c r="K67" i="8"/>
  <c r="G68" i="8"/>
  <c r="E69" i="8"/>
  <c r="AA69" i="8"/>
  <c r="P60" i="7"/>
  <c r="I5" i="7" s="1"/>
  <c r="D10" i="10" s="1"/>
  <c r="I22" i="8"/>
  <c r="I23" i="8"/>
  <c r="Y23" i="8"/>
  <c r="M45" i="8"/>
  <c r="I46" i="8"/>
  <c r="W46" i="8"/>
  <c r="G69" i="8"/>
  <c r="K22" i="8"/>
  <c r="W22" i="8"/>
  <c r="G44" i="8"/>
  <c r="Q44" i="8"/>
  <c r="S69" i="8"/>
  <c r="P146" i="4"/>
  <c r="P42" i="7"/>
  <c r="H5" i="7" s="1"/>
  <c r="C10" i="10" s="1"/>
  <c r="AA21" i="8"/>
  <c r="S44" i="8"/>
  <c r="AA45" i="8"/>
  <c r="M46" i="8"/>
  <c r="AB62" i="8"/>
  <c r="K17" i="9"/>
  <c r="L17" i="9" s="1"/>
  <c r="F23" i="4"/>
  <c r="Y22" i="8"/>
  <c r="O23" i="8"/>
  <c r="I44" i="8"/>
  <c r="U44" i="8"/>
  <c r="Q45" i="8"/>
  <c r="O46" i="8"/>
  <c r="K69" i="8"/>
  <c r="U69" i="8"/>
  <c r="T146" i="4"/>
  <c r="Z19" i="4"/>
  <c r="J21" i="4"/>
  <c r="D85" i="5"/>
  <c r="V83" i="4"/>
  <c r="J84" i="4"/>
  <c r="Q23" i="8"/>
  <c r="AB24" i="8"/>
  <c r="K44" i="8"/>
  <c r="AB47" i="8"/>
  <c r="AA68" i="8"/>
  <c r="M68" i="8"/>
  <c r="Y68" i="8"/>
  <c r="U23" i="8"/>
  <c r="M44" i="8"/>
  <c r="M69" i="8"/>
  <c r="B7" i="9"/>
  <c r="C6" i="7"/>
  <c r="B10" i="6"/>
  <c r="B6" i="10"/>
  <c r="B7" i="8"/>
  <c r="B8" i="4"/>
  <c r="E33" i="5"/>
  <c r="T102" i="5"/>
  <c r="L91" i="5"/>
  <c r="F102" i="5"/>
  <c r="N102" i="5"/>
  <c r="D102" i="5"/>
  <c r="V102" i="5"/>
  <c r="L102" i="5"/>
  <c r="F33" i="5"/>
  <c r="U20" i="5"/>
  <c r="AA39" i="5"/>
  <c r="AC39" i="5" s="1"/>
  <c r="AC47" i="5" s="1"/>
  <c r="AA20" i="5"/>
  <c r="L33" i="5"/>
  <c r="C6" i="10"/>
  <c r="C7" i="9"/>
  <c r="C10" i="6"/>
  <c r="C7" i="8"/>
  <c r="D18" i="8"/>
  <c r="E18" i="8" s="1"/>
  <c r="D19" i="8"/>
  <c r="E19" i="8" s="1"/>
  <c r="D17" i="8"/>
  <c r="E17" i="8" s="1"/>
  <c r="C83" i="5"/>
  <c r="D83" i="5" s="1"/>
  <c r="H80" i="5"/>
  <c r="X80" i="5"/>
  <c r="X145" i="4"/>
  <c r="H145" i="4"/>
  <c r="N145" i="4"/>
  <c r="Z145" i="4"/>
  <c r="J145" i="4"/>
  <c r="V145" i="4"/>
  <c r="L71" i="5"/>
  <c r="AA58" i="5"/>
  <c r="AC58" i="5" s="1"/>
  <c r="AC65" i="5" s="1"/>
  <c r="D6" i="10"/>
  <c r="D10" i="6"/>
  <c r="D7" i="9"/>
  <c r="E6" i="7"/>
  <c r="D7" i="8"/>
  <c r="H19" i="4"/>
  <c r="X19" i="4"/>
  <c r="H20" i="4"/>
  <c r="X20" i="4"/>
  <c r="H21" i="4"/>
  <c r="X21" i="4"/>
  <c r="F22" i="4"/>
  <c r="F24" i="4"/>
  <c r="J80" i="5"/>
  <c r="Z80" i="5"/>
  <c r="D82" i="4"/>
  <c r="H84" i="4"/>
  <c r="Z84" i="4"/>
  <c r="L144" i="4"/>
  <c r="AB145" i="4"/>
  <c r="R146" i="4"/>
  <c r="W20" i="5"/>
  <c r="W28" i="5" s="1"/>
  <c r="F17" i="8"/>
  <c r="G17" i="8" s="1"/>
  <c r="F18" i="8"/>
  <c r="G18" i="8" s="1"/>
  <c r="E83" i="5"/>
  <c r="F83" i="5" s="1"/>
  <c r="AC20" i="5"/>
  <c r="AC28" i="5" s="1"/>
  <c r="F145" i="4"/>
  <c r="D80" i="5"/>
  <c r="I22" i="4"/>
  <c r="D84" i="5"/>
  <c r="I24" i="4"/>
  <c r="P80" i="5"/>
  <c r="L82" i="5"/>
  <c r="P84" i="4"/>
  <c r="L145" i="4"/>
  <c r="AB146" i="4"/>
  <c r="V146" i="4"/>
  <c r="R80" i="5"/>
  <c r="H81" i="5"/>
  <c r="E36" i="4"/>
  <c r="R84" i="4"/>
  <c r="X144" i="4"/>
  <c r="H144" i="4"/>
  <c r="N144" i="4"/>
  <c r="Z144" i="4"/>
  <c r="J144" i="4"/>
  <c r="V144" i="4"/>
  <c r="P145" i="4"/>
  <c r="L80" i="5"/>
  <c r="H22" i="4"/>
  <c r="H24" i="4"/>
  <c r="N80" i="5"/>
  <c r="X146" i="4"/>
  <c r="H146" i="4"/>
  <c r="N146" i="4"/>
  <c r="Z146" i="4"/>
  <c r="J146" i="4"/>
  <c r="C8" i="4"/>
  <c r="R19" i="4"/>
  <c r="R20" i="4"/>
  <c r="R21" i="4"/>
  <c r="G23" i="4"/>
  <c r="T80" i="5"/>
  <c r="Z81" i="5"/>
  <c r="G36" i="4"/>
  <c r="R83" i="4"/>
  <c r="T84" i="4"/>
  <c r="AB144" i="4"/>
  <c r="R145" i="4"/>
  <c r="F146" i="4"/>
  <c r="P19" i="4"/>
  <c r="P20" i="4"/>
  <c r="P21" i="4"/>
  <c r="D8" i="4"/>
  <c r="D19" i="4"/>
  <c r="D20" i="4"/>
  <c r="C18" i="6" s="1"/>
  <c r="D21" i="4"/>
  <c r="C19" i="6" s="1"/>
  <c r="F80" i="5"/>
  <c r="V80" i="5"/>
  <c r="L81" i="5"/>
  <c r="R82" i="5"/>
  <c r="R82" i="4"/>
  <c r="T83" i="4"/>
  <c r="D84" i="4"/>
  <c r="D19" i="6" s="1"/>
  <c r="V84" i="4"/>
  <c r="D144" i="4"/>
  <c r="T145" i="4"/>
  <c r="L146" i="4"/>
  <c r="E51" i="5"/>
  <c r="P81" i="5" s="1"/>
  <c r="E70" i="5"/>
  <c r="F82" i="5" s="1"/>
  <c r="P91" i="5"/>
  <c r="H103" i="5"/>
  <c r="L72" i="9"/>
  <c r="D72" i="9"/>
  <c r="L54" i="9"/>
  <c r="D54" i="9"/>
  <c r="L36" i="9"/>
  <c r="D36" i="9"/>
  <c r="K72" i="9"/>
  <c r="C72" i="9"/>
  <c r="K54" i="9"/>
  <c r="C54" i="9"/>
  <c r="K36" i="9"/>
  <c r="C36" i="9"/>
  <c r="H72" i="9"/>
  <c r="N54" i="9"/>
  <c r="H36" i="9"/>
  <c r="I72" i="9"/>
  <c r="E54" i="9"/>
  <c r="J36" i="9"/>
  <c r="G72" i="9"/>
  <c r="I36" i="9"/>
  <c r="F72" i="9"/>
  <c r="M54" i="9"/>
  <c r="G36" i="9"/>
  <c r="E72" i="9"/>
  <c r="J54" i="9"/>
  <c r="F36" i="9"/>
  <c r="M72" i="9"/>
  <c r="G54" i="9"/>
  <c r="N36" i="9"/>
  <c r="N72" i="9"/>
  <c r="J72" i="9"/>
  <c r="M36" i="9"/>
  <c r="E36" i="9"/>
  <c r="H54" i="9"/>
  <c r="D91" i="5"/>
  <c r="R91" i="5"/>
  <c r="X102" i="5"/>
  <c r="F91" i="5"/>
  <c r="F92" i="5"/>
  <c r="F93" i="5"/>
  <c r="R93" i="5"/>
  <c r="Z102" i="5"/>
  <c r="H91" i="5"/>
  <c r="T91" i="5"/>
  <c r="H92" i="5"/>
  <c r="T92" i="5"/>
  <c r="T93" i="5"/>
  <c r="P102" i="5"/>
  <c r="J91" i="5"/>
  <c r="V91" i="5"/>
  <c r="V93" i="5"/>
  <c r="R102" i="5"/>
  <c r="X103" i="5"/>
  <c r="AB38" i="8"/>
  <c r="X91" i="5"/>
  <c r="X92" i="5"/>
  <c r="H102" i="5"/>
  <c r="N103" i="5"/>
  <c r="T104" i="5"/>
  <c r="F54" i="9"/>
  <c r="Z91" i="5"/>
  <c r="L93" i="5"/>
  <c r="J102" i="5"/>
  <c r="P103" i="5"/>
  <c r="V104" i="5"/>
  <c r="AB39" i="8"/>
  <c r="AB70" i="8"/>
  <c r="K19" i="9"/>
  <c r="L19" i="9" s="1"/>
  <c r="I54" i="9"/>
  <c r="N91" i="5"/>
  <c r="N93" i="5"/>
  <c r="Z93" i="5"/>
  <c r="F103" i="5"/>
  <c r="L104" i="5"/>
  <c r="AB45" i="8"/>
  <c r="AB43" i="8"/>
  <c r="AB66" i="8"/>
  <c r="E35" i="9"/>
  <c r="W21" i="8"/>
  <c r="O21" i="8"/>
  <c r="G21" i="8"/>
  <c r="M21" i="8"/>
  <c r="AB44" i="8"/>
  <c r="I71" i="9"/>
  <c r="I53" i="9"/>
  <c r="I35" i="9"/>
  <c r="H71" i="9"/>
  <c r="H53" i="9"/>
  <c r="H35" i="9"/>
  <c r="K71" i="9"/>
  <c r="E53" i="9"/>
  <c r="K35" i="9"/>
  <c r="J71" i="9"/>
  <c r="D53" i="9"/>
  <c r="L35" i="9"/>
  <c r="G71" i="9"/>
  <c r="N53" i="9"/>
  <c r="C53" i="9"/>
  <c r="J35" i="9"/>
  <c r="F71" i="9"/>
  <c r="M53" i="9"/>
  <c r="G35" i="9"/>
  <c r="E71" i="9"/>
  <c r="L53" i="9"/>
  <c r="F35" i="9"/>
  <c r="M71" i="9"/>
  <c r="G53" i="9"/>
  <c r="N35" i="9"/>
  <c r="C35" i="9"/>
  <c r="N71" i="9"/>
  <c r="Y21" i="8"/>
  <c r="F53" i="9"/>
  <c r="AB15" i="8"/>
  <c r="E21" i="8"/>
  <c r="K16" i="9"/>
  <c r="L16" i="9" s="1"/>
  <c r="K20" i="9"/>
  <c r="L20" i="9" s="1"/>
  <c r="J53" i="9"/>
  <c r="Q21" i="8"/>
  <c r="K53" i="9"/>
  <c r="K23" i="8"/>
  <c r="S23" i="8"/>
  <c r="AA23" i="8"/>
  <c r="U67" i="8"/>
  <c r="M67" i="8"/>
  <c r="E67" i="8"/>
  <c r="E22" i="8"/>
  <c r="M22" i="8"/>
  <c r="AB61" i="8"/>
  <c r="P25" i="7"/>
  <c r="G5" i="7" s="1"/>
  <c r="B10" i="10" s="1"/>
  <c r="AB16" i="8"/>
  <c r="E23" i="8"/>
  <c r="M23" i="8"/>
  <c r="G67" i="8"/>
  <c r="Y69" i="8"/>
  <c r="Q69" i="8"/>
  <c r="I69" i="8"/>
  <c r="K46" i="8"/>
  <c r="AB46" i="8" s="1"/>
  <c r="S46" i="8"/>
  <c r="K68" i="8"/>
  <c r="AB68" i="8" s="1"/>
  <c r="S68" i="8"/>
  <c r="AB69" i="8" l="1"/>
  <c r="V103" i="5"/>
  <c r="F104" i="5"/>
  <c r="D92" i="5"/>
  <c r="H93" i="5"/>
  <c r="R81" i="5"/>
  <c r="C71" i="9"/>
  <c r="M35" i="9"/>
  <c r="D35" i="9"/>
  <c r="L71" i="9"/>
  <c r="D71" i="9"/>
  <c r="O71" i="9" s="1"/>
  <c r="Z92" i="5"/>
  <c r="N82" i="5"/>
  <c r="F32" i="4"/>
  <c r="N92" i="5"/>
  <c r="J93" i="5"/>
  <c r="V92" i="5"/>
  <c r="N104" i="5"/>
  <c r="X81" i="5"/>
  <c r="L92" i="5"/>
  <c r="D93" i="5"/>
  <c r="B93" i="5" s="1"/>
  <c r="P92" i="5"/>
  <c r="F81" i="5"/>
  <c r="AB67" i="8"/>
  <c r="J10" i="8" s="1"/>
  <c r="D82" i="5"/>
  <c r="E84" i="5"/>
  <c r="F84" i="5" s="1"/>
  <c r="F86" i="5" s="1"/>
  <c r="H23" i="4"/>
  <c r="H32" i="4" s="1"/>
  <c r="I23" i="4"/>
  <c r="H18" i="8" s="1"/>
  <c r="I18" i="8" s="1"/>
  <c r="P93" i="5"/>
  <c r="V81" i="5"/>
  <c r="F19" i="8"/>
  <c r="G19" i="8" s="1"/>
  <c r="G32" i="8" s="1"/>
  <c r="D17" i="6"/>
  <c r="T82" i="5"/>
  <c r="J74" i="9"/>
  <c r="J56" i="9"/>
  <c r="J38" i="9"/>
  <c r="I74" i="9"/>
  <c r="I56" i="9"/>
  <c r="I38" i="9"/>
  <c r="N74" i="9"/>
  <c r="D74" i="9"/>
  <c r="H56" i="9"/>
  <c r="N38" i="9"/>
  <c r="D38" i="9"/>
  <c r="G74" i="9"/>
  <c r="N56" i="9"/>
  <c r="C56" i="9"/>
  <c r="H38" i="9"/>
  <c r="F74" i="9"/>
  <c r="M56" i="9"/>
  <c r="G38" i="9"/>
  <c r="E74" i="9"/>
  <c r="L56" i="9"/>
  <c r="F38" i="9"/>
  <c r="C74" i="9"/>
  <c r="K56" i="9"/>
  <c r="E38" i="9"/>
  <c r="K74" i="9"/>
  <c r="E56" i="9"/>
  <c r="L38" i="9"/>
  <c r="F56" i="9"/>
  <c r="M74" i="9"/>
  <c r="D56" i="9"/>
  <c r="L74" i="9"/>
  <c r="H74" i="9"/>
  <c r="M38" i="9"/>
  <c r="C38" i="9"/>
  <c r="G56" i="9"/>
  <c r="K38" i="9"/>
  <c r="G83" i="5"/>
  <c r="K22" i="4"/>
  <c r="J22" i="4"/>
  <c r="N70" i="9"/>
  <c r="N75" i="9" s="1"/>
  <c r="F70" i="9"/>
  <c r="N52" i="9"/>
  <c r="F52" i="9"/>
  <c r="N34" i="9"/>
  <c r="F34" i="9"/>
  <c r="M70" i="9"/>
  <c r="E70" i="9"/>
  <c r="M52" i="9"/>
  <c r="E52" i="9"/>
  <c r="M34" i="9"/>
  <c r="E34" i="9"/>
  <c r="L70" i="9"/>
  <c r="H52" i="9"/>
  <c r="L34" i="9"/>
  <c r="J70" i="9"/>
  <c r="D52" i="9"/>
  <c r="D57" i="9" s="1"/>
  <c r="K34" i="9"/>
  <c r="I70" i="9"/>
  <c r="C52" i="9"/>
  <c r="J34" i="9"/>
  <c r="H70" i="9"/>
  <c r="I34" i="9"/>
  <c r="G70" i="9"/>
  <c r="L52" i="9"/>
  <c r="H34" i="9"/>
  <c r="I52" i="9"/>
  <c r="C34" i="9"/>
  <c r="D70" i="9"/>
  <c r="C70" i="9"/>
  <c r="G34" i="9"/>
  <c r="D34" i="9"/>
  <c r="K52" i="9"/>
  <c r="K57" i="9" s="1"/>
  <c r="J52" i="9"/>
  <c r="K70" i="9"/>
  <c r="G52" i="9"/>
  <c r="O53" i="9"/>
  <c r="B80" i="5"/>
  <c r="O54" i="9"/>
  <c r="V82" i="5"/>
  <c r="N81" i="5"/>
  <c r="B102" i="5"/>
  <c r="AB22" i="8"/>
  <c r="I10" i="8"/>
  <c r="B91" i="5"/>
  <c r="E86" i="5"/>
  <c r="AB21" i="8"/>
  <c r="D104" i="5"/>
  <c r="C86" i="5"/>
  <c r="Z82" i="5"/>
  <c r="P82" i="5"/>
  <c r="D81" i="5"/>
  <c r="J92" i="5"/>
  <c r="J82" i="5"/>
  <c r="C17" i="6"/>
  <c r="O36" i="9"/>
  <c r="AB23" i="8"/>
  <c r="O72" i="9"/>
  <c r="E71" i="5"/>
  <c r="J104" i="5"/>
  <c r="X93" i="5"/>
  <c r="R104" i="5"/>
  <c r="H104" i="5"/>
  <c r="Z104" i="5"/>
  <c r="P104" i="5"/>
  <c r="X104" i="5"/>
  <c r="F71" i="5"/>
  <c r="U62" i="5"/>
  <c r="W62" i="5" s="1"/>
  <c r="W65" i="5" s="1"/>
  <c r="H82" i="5"/>
  <c r="T81" i="5"/>
  <c r="E17" i="6"/>
  <c r="E32" i="8"/>
  <c r="O35" i="9"/>
  <c r="G73" i="9"/>
  <c r="G55" i="9"/>
  <c r="G37" i="9"/>
  <c r="N73" i="9"/>
  <c r="F73" i="9"/>
  <c r="N55" i="9"/>
  <c r="F55" i="9"/>
  <c r="N37" i="9"/>
  <c r="F37" i="9"/>
  <c r="E73" i="9"/>
  <c r="K55" i="9"/>
  <c r="E37" i="9"/>
  <c r="I73" i="9"/>
  <c r="C55" i="9"/>
  <c r="J37" i="9"/>
  <c r="H73" i="9"/>
  <c r="M55" i="9"/>
  <c r="I37" i="9"/>
  <c r="D73" i="9"/>
  <c r="L55" i="9"/>
  <c r="H37" i="9"/>
  <c r="C73" i="9"/>
  <c r="J55" i="9"/>
  <c r="D37" i="9"/>
  <c r="K73" i="9"/>
  <c r="E55" i="9"/>
  <c r="L37" i="9"/>
  <c r="C37" i="9"/>
  <c r="I55" i="9"/>
  <c r="H55" i="9"/>
  <c r="M73" i="9"/>
  <c r="J73" i="9"/>
  <c r="M37" i="9"/>
  <c r="L73" i="9"/>
  <c r="D55" i="9"/>
  <c r="K37" i="9"/>
  <c r="Z103" i="5"/>
  <c r="D103" i="5"/>
  <c r="L103" i="5"/>
  <c r="T103" i="5"/>
  <c r="J103" i="5"/>
  <c r="R92" i="5"/>
  <c r="E52" i="5"/>
  <c r="R103" i="5"/>
  <c r="U43" i="5"/>
  <c r="W43" i="5" s="1"/>
  <c r="W47" i="5" s="1"/>
  <c r="F52" i="5"/>
  <c r="J81" i="5"/>
  <c r="G85" i="5"/>
  <c r="H85" i="5" s="1"/>
  <c r="K24" i="4"/>
  <c r="J24" i="4"/>
  <c r="X82" i="5"/>
  <c r="B92" i="5" l="1"/>
  <c r="L57" i="9"/>
  <c r="M57" i="9"/>
  <c r="G75" i="9"/>
  <c r="E75" i="9"/>
  <c r="G39" i="9"/>
  <c r="I39" i="9"/>
  <c r="J75" i="9"/>
  <c r="O73" i="9"/>
  <c r="G84" i="5"/>
  <c r="H84" i="5" s="1"/>
  <c r="K23" i="4"/>
  <c r="K36" i="4" s="1"/>
  <c r="J23" i="4"/>
  <c r="J32" i="4" s="1"/>
  <c r="B104" i="5"/>
  <c r="C75" i="9"/>
  <c r="O70" i="9"/>
  <c r="H75" i="9"/>
  <c r="H57" i="9"/>
  <c r="F39" i="9"/>
  <c r="J18" i="8"/>
  <c r="K18" i="8" s="1"/>
  <c r="I83" i="5"/>
  <c r="L22" i="4"/>
  <c r="M22" i="4"/>
  <c r="O38" i="9"/>
  <c r="O55" i="9"/>
  <c r="O37" i="9"/>
  <c r="D75" i="9"/>
  <c r="J39" i="9"/>
  <c r="L75" i="9"/>
  <c r="N39" i="9"/>
  <c r="I36" i="4"/>
  <c r="B82" i="5"/>
  <c r="D39" i="9"/>
  <c r="D86" i="5"/>
  <c r="L39" i="9"/>
  <c r="G57" i="9"/>
  <c r="C39" i="9"/>
  <c r="O34" i="9"/>
  <c r="O52" i="9"/>
  <c r="C57" i="9"/>
  <c r="E39" i="9"/>
  <c r="F57" i="9"/>
  <c r="H17" i="8"/>
  <c r="I17" i="8" s="1"/>
  <c r="M75" i="9"/>
  <c r="B81" i="5"/>
  <c r="K75" i="9"/>
  <c r="I57" i="9"/>
  <c r="I75" i="9"/>
  <c r="M39" i="9"/>
  <c r="N57" i="9"/>
  <c r="H19" i="8"/>
  <c r="I19" i="8" s="1"/>
  <c r="I85" i="5"/>
  <c r="J85" i="5" s="1"/>
  <c r="L24" i="4"/>
  <c r="M24" i="4"/>
  <c r="B103" i="5"/>
  <c r="H10" i="8"/>
  <c r="J57" i="9"/>
  <c r="H39" i="9"/>
  <c r="K39" i="9"/>
  <c r="E57" i="9"/>
  <c r="F75" i="9"/>
  <c r="H83" i="5"/>
  <c r="O74" i="9"/>
  <c r="O56" i="9"/>
  <c r="I32" i="8" l="1"/>
  <c r="K85" i="5"/>
  <c r="L85" i="5" s="1"/>
  <c r="N24" i="4"/>
  <c r="O24" i="4"/>
  <c r="I84" i="5"/>
  <c r="J84" i="5" s="1"/>
  <c r="L23" i="4"/>
  <c r="L32" i="4" s="1"/>
  <c r="M23" i="4"/>
  <c r="L18" i="8" s="1"/>
  <c r="M18" i="8" s="1"/>
  <c r="O39" i="9"/>
  <c r="H6" i="9" s="1"/>
  <c r="B12" i="10" s="1"/>
  <c r="K83" i="5"/>
  <c r="O22" i="4"/>
  <c r="N22" i="4"/>
  <c r="G86" i="5"/>
  <c r="J19" i="8"/>
  <c r="K19" i="8" s="1"/>
  <c r="O75" i="9"/>
  <c r="J6" i="9" s="1"/>
  <c r="D12" i="10" s="1"/>
  <c r="H86" i="5"/>
  <c r="O57" i="9"/>
  <c r="I6" i="9" s="1"/>
  <c r="C12" i="10" s="1"/>
  <c r="J17" i="8"/>
  <c r="K17" i="8" s="1"/>
  <c r="K32" i="8" s="1"/>
  <c r="J83" i="5"/>
  <c r="I86" i="5"/>
  <c r="L19" i="8" l="1"/>
  <c r="M19" i="8" s="1"/>
  <c r="L17" i="8"/>
  <c r="M17" i="8" s="1"/>
  <c r="J86" i="5"/>
  <c r="K84" i="5"/>
  <c r="L84" i="5" s="1"/>
  <c r="N23" i="4"/>
  <c r="N32" i="4" s="1"/>
  <c r="O23" i="4"/>
  <c r="N17" i="8" s="1"/>
  <c r="O17" i="8" s="1"/>
  <c r="M36" i="4"/>
  <c r="M83" i="5"/>
  <c r="Q22" i="4"/>
  <c r="P22" i="4"/>
  <c r="M32" i="8"/>
  <c r="L83" i="5"/>
  <c r="M85" i="5"/>
  <c r="N85" i="5" s="1"/>
  <c r="Q24" i="4"/>
  <c r="P24" i="4"/>
  <c r="O36" i="4" l="1"/>
  <c r="N18" i="8"/>
  <c r="O18" i="8" s="1"/>
  <c r="O32" i="8" s="1"/>
  <c r="N19" i="8"/>
  <c r="O19" i="8" s="1"/>
  <c r="L86" i="5"/>
  <c r="P19" i="8"/>
  <c r="Q19" i="8" s="1"/>
  <c r="O83" i="5"/>
  <c r="P18" i="8"/>
  <c r="Q18" i="8" s="1"/>
  <c r="R22" i="4"/>
  <c r="S22" i="4"/>
  <c r="Q36" i="4"/>
  <c r="O85" i="5"/>
  <c r="P85" i="5" s="1"/>
  <c r="S24" i="4"/>
  <c r="R24" i="4"/>
  <c r="N83" i="5"/>
  <c r="M84" i="5"/>
  <c r="N84" i="5" s="1"/>
  <c r="P23" i="4"/>
  <c r="P32" i="4" s="1"/>
  <c r="Q23" i="4"/>
  <c r="K86" i="5"/>
  <c r="P83" i="5" l="1"/>
  <c r="O86" i="5"/>
  <c r="N86" i="5"/>
  <c r="M86" i="5"/>
  <c r="Q83" i="5"/>
  <c r="T22" i="4"/>
  <c r="U22" i="4"/>
  <c r="Q85" i="5"/>
  <c r="R85" i="5" s="1"/>
  <c r="T24" i="4"/>
  <c r="U24" i="4"/>
  <c r="O84" i="5"/>
  <c r="P84" i="5" s="1"/>
  <c r="S23" i="4"/>
  <c r="S36" i="4" s="1"/>
  <c r="R23" i="4"/>
  <c r="R32" i="4" s="1"/>
  <c r="P17" i="8"/>
  <c r="Q17" i="8" s="1"/>
  <c r="P86" i="5" l="1"/>
  <c r="R83" i="5"/>
  <c r="R86" i="5" s="1"/>
  <c r="S83" i="5"/>
  <c r="U36" i="4"/>
  <c r="W22" i="4"/>
  <c r="V22" i="4"/>
  <c r="Q84" i="5"/>
  <c r="R84" i="5" s="1"/>
  <c r="T23" i="4"/>
  <c r="T32" i="4" s="1"/>
  <c r="U23" i="4"/>
  <c r="T17" i="8" s="1"/>
  <c r="U17" i="8" s="1"/>
  <c r="R17" i="8"/>
  <c r="S17" i="8" s="1"/>
  <c r="S85" i="5"/>
  <c r="T85" i="5" s="1"/>
  <c r="W24" i="4"/>
  <c r="V24" i="4"/>
  <c r="R19" i="8"/>
  <c r="S19" i="8" s="1"/>
  <c r="R18" i="8"/>
  <c r="S18" i="8" s="1"/>
  <c r="Q32" i="8"/>
  <c r="U85" i="5" l="1"/>
  <c r="V85" i="5" s="1"/>
  <c r="X24" i="4"/>
  <c r="Y24" i="4"/>
  <c r="S32" i="8"/>
  <c r="T83" i="5"/>
  <c r="S84" i="5"/>
  <c r="T84" i="5" s="1"/>
  <c r="W23" i="4"/>
  <c r="V23" i="4"/>
  <c r="V32" i="4" s="1"/>
  <c r="T19" i="8"/>
  <c r="U19" i="8" s="1"/>
  <c r="T18" i="8"/>
  <c r="U18" i="8" s="1"/>
  <c r="U32" i="8" s="1"/>
  <c r="U83" i="5"/>
  <c r="V19" i="8"/>
  <c r="W19" i="8" s="1"/>
  <c r="X22" i="4"/>
  <c r="Y22" i="4"/>
  <c r="Q86" i="5"/>
  <c r="U84" i="5" l="1"/>
  <c r="V84" i="5" s="1"/>
  <c r="X23" i="4"/>
  <c r="X32" i="4" s="1"/>
  <c r="Y23" i="4"/>
  <c r="Y36" i="4" s="1"/>
  <c r="V18" i="8"/>
  <c r="W18" i="8" s="1"/>
  <c r="V17" i="8"/>
  <c r="W17" i="8" s="1"/>
  <c r="W85" i="5"/>
  <c r="X85" i="5" s="1"/>
  <c r="AA24" i="4"/>
  <c r="C24" i="4" s="1"/>
  <c r="D24" i="4" s="1"/>
  <c r="C22" i="6" s="1"/>
  <c r="Z24" i="4"/>
  <c r="W83" i="5"/>
  <c r="AA22" i="4"/>
  <c r="Z22" i="4"/>
  <c r="V83" i="5"/>
  <c r="V86" i="5" s="1"/>
  <c r="U86" i="5"/>
  <c r="S86" i="5"/>
  <c r="T86" i="5"/>
  <c r="W36" i="4"/>
  <c r="X17" i="8" l="1"/>
  <c r="Y17" i="8" s="1"/>
  <c r="X19" i="8"/>
  <c r="Y19" i="8" s="1"/>
  <c r="W84" i="5"/>
  <c r="X84" i="5" s="1"/>
  <c r="AA23" i="4"/>
  <c r="AA36" i="4" s="1"/>
  <c r="Z23" i="4"/>
  <c r="Z32" i="4" s="1"/>
  <c r="Y83" i="5"/>
  <c r="E85" i="4"/>
  <c r="AB22" i="4"/>
  <c r="C22" i="4"/>
  <c r="Y85" i="5"/>
  <c r="Z85" i="5" s="1"/>
  <c r="B85" i="5" s="1"/>
  <c r="E87" i="4"/>
  <c r="AB24" i="4"/>
  <c r="X18" i="8"/>
  <c r="Y18" i="8" s="1"/>
  <c r="W32" i="8"/>
  <c r="X83" i="5"/>
  <c r="X86" i="5" s="1"/>
  <c r="W86" i="5" l="1"/>
  <c r="D40" i="8"/>
  <c r="E40" i="8" s="1"/>
  <c r="C94" i="5"/>
  <c r="G85" i="4"/>
  <c r="F85" i="4"/>
  <c r="E86" i="4"/>
  <c r="D42" i="8" s="1"/>
  <c r="E42" i="8" s="1"/>
  <c r="Y84" i="5"/>
  <c r="Z84" i="5" s="1"/>
  <c r="B84" i="5" s="1"/>
  <c r="AB23" i="4"/>
  <c r="AB32" i="4" s="1"/>
  <c r="Z17" i="8"/>
  <c r="AA17" i="8" s="1"/>
  <c r="Y32" i="8"/>
  <c r="Z18" i="8"/>
  <c r="AA18" i="8" s="1"/>
  <c r="AB18" i="8" s="1"/>
  <c r="Z19" i="8"/>
  <c r="AA19" i="8" s="1"/>
  <c r="AB19" i="8" s="1"/>
  <c r="Z83" i="5"/>
  <c r="C96" i="5"/>
  <c r="D96" i="5" s="1"/>
  <c r="G87" i="4"/>
  <c r="F87" i="4"/>
  <c r="D22" i="4"/>
  <c r="C23" i="4"/>
  <c r="D23" i="4" s="1"/>
  <c r="C21" i="6" s="1"/>
  <c r="Y86" i="5" l="1"/>
  <c r="E99" i="4"/>
  <c r="E55" i="8"/>
  <c r="C20" i="6"/>
  <c r="C30" i="6" s="1"/>
  <c r="B14" i="10" s="1"/>
  <c r="D32" i="4"/>
  <c r="C95" i="5"/>
  <c r="D95" i="5" s="1"/>
  <c r="G86" i="4"/>
  <c r="G99" i="4" s="1"/>
  <c r="F86" i="4"/>
  <c r="F95" i="4" s="1"/>
  <c r="D41" i="8"/>
  <c r="E41" i="8" s="1"/>
  <c r="I85" i="4"/>
  <c r="E94" i="5"/>
  <c r="H85" i="4"/>
  <c r="AA32" i="8"/>
  <c r="AB17" i="8"/>
  <c r="AB32" i="8" s="1"/>
  <c r="H6" i="8" s="1"/>
  <c r="B11" i="10" s="1"/>
  <c r="D94" i="5"/>
  <c r="Z86" i="5"/>
  <c r="B86" i="5" s="1"/>
  <c r="B83" i="5"/>
  <c r="C36" i="4"/>
  <c r="E96" i="5"/>
  <c r="F96" i="5" s="1"/>
  <c r="I87" i="4"/>
  <c r="H87" i="4"/>
  <c r="C97" i="5" l="1"/>
  <c r="G94" i="5"/>
  <c r="J85" i="4"/>
  <c r="K85" i="4"/>
  <c r="D97" i="5"/>
  <c r="B13" i="10"/>
  <c r="B21" i="10" s="1"/>
  <c r="F42" i="8"/>
  <c r="G42" i="8" s="1"/>
  <c r="E17" i="4"/>
  <c r="G17" i="4"/>
  <c r="I17" i="4"/>
  <c r="K17" i="4"/>
  <c r="M17" i="4"/>
  <c r="O17" i="4"/>
  <c r="Q17" i="4"/>
  <c r="S17" i="4"/>
  <c r="U17" i="4"/>
  <c r="W17" i="4"/>
  <c r="Y17" i="4"/>
  <c r="F40" i="8"/>
  <c r="G40" i="8" s="1"/>
  <c r="G96" i="5"/>
  <c r="H96" i="5" s="1"/>
  <c r="J87" i="4"/>
  <c r="K87" i="4"/>
  <c r="F41" i="8"/>
  <c r="G41" i="8" s="1"/>
  <c r="E95" i="5"/>
  <c r="F95" i="5" s="1"/>
  <c r="I86" i="4"/>
  <c r="H42" i="8" s="1"/>
  <c r="I42" i="8" s="1"/>
  <c r="H86" i="4"/>
  <c r="H95" i="4" s="1"/>
  <c r="B15" i="10"/>
  <c r="F94" i="5"/>
  <c r="F97" i="5" s="1"/>
  <c r="E97" i="5"/>
  <c r="AA17" i="4"/>
  <c r="I99" i="4" l="1"/>
  <c r="H41" i="8"/>
  <c r="I41" i="8" s="1"/>
  <c r="G55" i="8"/>
  <c r="J40" i="8"/>
  <c r="K40" i="8" s="1"/>
  <c r="J42" i="8"/>
  <c r="K42" i="8" s="1"/>
  <c r="I94" i="5"/>
  <c r="M85" i="4"/>
  <c r="L85" i="4"/>
  <c r="I96" i="5"/>
  <c r="J96" i="5" s="1"/>
  <c r="L87" i="4"/>
  <c r="M87" i="4"/>
  <c r="H94" i="5"/>
  <c r="G97" i="5"/>
  <c r="B16" i="10"/>
  <c r="B20" i="10"/>
  <c r="B22" i="10"/>
  <c r="G95" i="5"/>
  <c r="H95" i="5" s="1"/>
  <c r="K86" i="4"/>
  <c r="J41" i="8" s="1"/>
  <c r="K41" i="8" s="1"/>
  <c r="J86" i="4"/>
  <c r="J95" i="4" s="1"/>
  <c r="H40" i="8"/>
  <c r="I40" i="8" s="1"/>
  <c r="I55" i="8" s="1"/>
  <c r="J94" i="5" l="1"/>
  <c r="K55" i="8"/>
  <c r="H97" i="5"/>
  <c r="M86" i="4"/>
  <c r="M99" i="4" s="1"/>
  <c r="I95" i="5"/>
  <c r="J95" i="5" s="1"/>
  <c r="L86" i="4"/>
  <c r="L95" i="4"/>
  <c r="K96" i="5"/>
  <c r="L96" i="5" s="1"/>
  <c r="O87" i="4"/>
  <c r="N87" i="4"/>
  <c r="K99" i="4"/>
  <c r="L42" i="8"/>
  <c r="M42" i="8" s="1"/>
  <c r="L41" i="8"/>
  <c r="M41" i="8" s="1"/>
  <c r="L40" i="8"/>
  <c r="M40" i="8" s="1"/>
  <c r="K94" i="5"/>
  <c r="N85" i="4"/>
  <c r="O85" i="4"/>
  <c r="M55" i="8" l="1"/>
  <c r="I97" i="5"/>
  <c r="J97" i="5"/>
  <c r="M96" i="5"/>
  <c r="N96" i="5" s="1"/>
  <c r="Q87" i="4"/>
  <c r="P87" i="4"/>
  <c r="L94" i="5"/>
  <c r="N40" i="8"/>
  <c r="O40" i="8" s="1"/>
  <c r="Q85" i="4"/>
  <c r="M94" i="5"/>
  <c r="P85" i="4"/>
  <c r="K95" i="5"/>
  <c r="L95" i="5" s="1"/>
  <c r="N86" i="4"/>
  <c r="N95" i="4" s="1"/>
  <c r="O86" i="4"/>
  <c r="O99" i="4" s="1"/>
  <c r="N41" i="8" l="1"/>
  <c r="O41" i="8" s="1"/>
  <c r="O55" i="8" s="1"/>
  <c r="N94" i="5"/>
  <c r="M97" i="5"/>
  <c r="L97" i="5"/>
  <c r="O96" i="5"/>
  <c r="P96" i="5" s="1"/>
  <c r="R87" i="4"/>
  <c r="S87" i="4"/>
  <c r="K97" i="5"/>
  <c r="P40" i="8"/>
  <c r="Q40" i="8" s="1"/>
  <c r="O94" i="5"/>
  <c r="S85" i="4"/>
  <c r="R85" i="4"/>
  <c r="M95" i="5"/>
  <c r="N95" i="5" s="1"/>
  <c r="Q86" i="4"/>
  <c r="Q99" i="4" s="1"/>
  <c r="P86" i="4"/>
  <c r="P95" i="4" s="1"/>
  <c r="N42" i="8"/>
  <c r="O42" i="8" s="1"/>
  <c r="N97" i="5" l="1"/>
  <c r="P41" i="8"/>
  <c r="Q41" i="8" s="1"/>
  <c r="O95" i="5"/>
  <c r="P95" i="5" s="1"/>
  <c r="S86" i="4"/>
  <c r="R42" i="8" s="1"/>
  <c r="S42" i="8" s="1"/>
  <c r="R86" i="4"/>
  <c r="R95" i="4" s="1"/>
  <c r="Q96" i="5"/>
  <c r="R96" i="5" s="1"/>
  <c r="T87" i="4"/>
  <c r="U87" i="4"/>
  <c r="P94" i="5"/>
  <c r="O97" i="5"/>
  <c r="Q94" i="5"/>
  <c r="U85" i="4"/>
  <c r="T85" i="4"/>
  <c r="P42" i="8"/>
  <c r="Q42" i="8" s="1"/>
  <c r="P97" i="5" l="1"/>
  <c r="S94" i="5"/>
  <c r="W85" i="4"/>
  <c r="V85" i="4"/>
  <c r="U86" i="4"/>
  <c r="T40" i="8" s="1"/>
  <c r="U40" i="8" s="1"/>
  <c r="Q95" i="5"/>
  <c r="R95" i="5" s="1"/>
  <c r="T86" i="4"/>
  <c r="T95" i="4" s="1"/>
  <c r="R94" i="5"/>
  <c r="S96" i="5"/>
  <c r="T96" i="5" s="1"/>
  <c r="W87" i="4"/>
  <c r="V87" i="4"/>
  <c r="S99" i="4"/>
  <c r="R40" i="8"/>
  <c r="S40" i="8" s="1"/>
  <c r="Q55" i="8"/>
  <c r="R41" i="8"/>
  <c r="S41" i="8" s="1"/>
  <c r="T42" i="8" l="1"/>
  <c r="U42" i="8" s="1"/>
  <c r="T94" i="5"/>
  <c r="S95" i="5"/>
  <c r="T95" i="5" s="1"/>
  <c r="V86" i="4"/>
  <c r="W86" i="4"/>
  <c r="U96" i="5"/>
  <c r="V96" i="5" s="1"/>
  <c r="Y87" i="4"/>
  <c r="X87" i="4"/>
  <c r="V41" i="8"/>
  <c r="W41" i="8" s="1"/>
  <c r="Y85" i="4"/>
  <c r="U94" i="5"/>
  <c r="W99" i="4"/>
  <c r="X85" i="4"/>
  <c r="Q97" i="5"/>
  <c r="U99" i="4"/>
  <c r="V95" i="4"/>
  <c r="S55" i="8"/>
  <c r="R97" i="5"/>
  <c r="T41" i="8"/>
  <c r="U41" i="8" s="1"/>
  <c r="T97" i="5" l="1"/>
  <c r="W96" i="5"/>
  <c r="X96" i="5" s="1"/>
  <c r="Z87" i="4"/>
  <c r="AA87" i="4"/>
  <c r="W94" i="5"/>
  <c r="AA85" i="4"/>
  <c r="Z85" i="4"/>
  <c r="C85" i="4"/>
  <c r="U95" i="5"/>
  <c r="V95" i="5" s="1"/>
  <c r="Y86" i="4"/>
  <c r="X40" i="8" s="1"/>
  <c r="Y40" i="8" s="1"/>
  <c r="X86" i="4"/>
  <c r="X95" i="4" s="1"/>
  <c r="U55" i="8"/>
  <c r="S97" i="5"/>
  <c r="V94" i="5"/>
  <c r="V40" i="8"/>
  <c r="W40" i="8" s="1"/>
  <c r="V42" i="8"/>
  <c r="W42" i="8" s="1"/>
  <c r="Y99" i="4" l="1"/>
  <c r="U97" i="5"/>
  <c r="V97" i="5"/>
  <c r="Y94" i="5"/>
  <c r="AB85" i="4"/>
  <c r="E147" i="4"/>
  <c r="Y96" i="5"/>
  <c r="Z96" i="5" s="1"/>
  <c r="B96" i="5" s="1"/>
  <c r="AB87" i="4"/>
  <c r="E149" i="4"/>
  <c r="C87" i="4"/>
  <c r="D87" i="4" s="1"/>
  <c r="D22" i="6" s="1"/>
  <c r="X94" i="5"/>
  <c r="W95" i="5"/>
  <c r="X95" i="5" s="1"/>
  <c r="AA86" i="4"/>
  <c r="Z40" i="8" s="1"/>
  <c r="AA40" i="8" s="1"/>
  <c r="Z86" i="4"/>
  <c r="Z95" i="4" s="1"/>
  <c r="D85" i="4"/>
  <c r="W55" i="8"/>
  <c r="X41" i="8"/>
  <c r="Y41" i="8" s="1"/>
  <c r="Y55" i="8" s="1"/>
  <c r="X42" i="8"/>
  <c r="Y42" i="8" s="1"/>
  <c r="AA99" i="4" l="1"/>
  <c r="AB40" i="8"/>
  <c r="C107" i="5"/>
  <c r="D107" i="5" s="1"/>
  <c r="F149" i="4"/>
  <c r="G149" i="4"/>
  <c r="Z94" i="5"/>
  <c r="Z42" i="8"/>
  <c r="AA42" i="8" s="1"/>
  <c r="AB42" i="8" s="1"/>
  <c r="W97" i="5"/>
  <c r="D20" i="6"/>
  <c r="Y95" i="5"/>
  <c r="Z95" i="5" s="1"/>
  <c r="E148" i="4"/>
  <c r="AB86" i="4"/>
  <c r="AB95" i="4" s="1"/>
  <c r="C86" i="4"/>
  <c r="B95" i="5"/>
  <c r="Z41" i="8"/>
  <c r="AA41" i="8" s="1"/>
  <c r="AA55" i="8" s="1"/>
  <c r="X97" i="5"/>
  <c r="D64" i="8"/>
  <c r="E64" i="8" s="1"/>
  <c r="C105" i="5"/>
  <c r="F147" i="4"/>
  <c r="D63" i="8"/>
  <c r="E63" i="8" s="1"/>
  <c r="G147" i="4"/>
  <c r="E161" i="4"/>
  <c r="E107" i="5" l="1"/>
  <c r="F107" i="5" s="1"/>
  <c r="I149" i="4"/>
  <c r="H149" i="4"/>
  <c r="E105" i="5"/>
  <c r="I147" i="4"/>
  <c r="H147" i="4"/>
  <c r="D86" i="4"/>
  <c r="C99" i="4"/>
  <c r="AB41" i="8"/>
  <c r="AB55" i="8" s="1"/>
  <c r="I6" i="8" s="1"/>
  <c r="C11" i="10" s="1"/>
  <c r="C106" i="5"/>
  <c r="D106" i="5" s="1"/>
  <c r="F148" i="4"/>
  <c r="F157" i="4" s="1"/>
  <c r="G148" i="4"/>
  <c r="F65" i="8" s="1"/>
  <c r="G65" i="8" s="1"/>
  <c r="Z97" i="5"/>
  <c r="B97" i="5" s="1"/>
  <c r="B94" i="5"/>
  <c r="D105" i="5"/>
  <c r="C108" i="5"/>
  <c r="D65" i="8"/>
  <c r="E65" i="8" s="1"/>
  <c r="Y97" i="5"/>
  <c r="F63" i="8" l="1"/>
  <c r="G63" i="8" s="1"/>
  <c r="G78" i="8" s="1"/>
  <c r="F64" i="8"/>
  <c r="G64" i="8" s="1"/>
  <c r="C13" i="10"/>
  <c r="D21" i="6"/>
  <c r="D30" i="6" s="1"/>
  <c r="C14" i="10" s="1"/>
  <c r="D95" i="4"/>
  <c r="E106" i="5"/>
  <c r="F106" i="5" s="1"/>
  <c r="I148" i="4"/>
  <c r="I161" i="4" s="1"/>
  <c r="H148" i="4"/>
  <c r="H157" i="4" s="1"/>
  <c r="D108" i="5"/>
  <c r="G161" i="4"/>
  <c r="E78" i="8"/>
  <c r="G107" i="5"/>
  <c r="H107" i="5" s="1"/>
  <c r="K149" i="4"/>
  <c r="J149" i="4"/>
  <c r="H64" i="8"/>
  <c r="I64" i="8" s="1"/>
  <c r="H63" i="8"/>
  <c r="I63" i="8" s="1"/>
  <c r="G105" i="5"/>
  <c r="J147" i="4"/>
  <c r="K147" i="4"/>
  <c r="F105" i="5"/>
  <c r="F108" i="5" s="1"/>
  <c r="E108" i="5"/>
  <c r="E80" i="4" l="1"/>
  <c r="G80" i="4"/>
  <c r="I80" i="4"/>
  <c r="K80" i="4"/>
  <c r="M80" i="4"/>
  <c r="O80" i="4"/>
  <c r="Q80" i="4"/>
  <c r="S80" i="4"/>
  <c r="U80" i="4"/>
  <c r="W80" i="4"/>
  <c r="Y80" i="4"/>
  <c r="AA80" i="4"/>
  <c r="C15" i="10"/>
  <c r="H105" i="5"/>
  <c r="C16" i="10"/>
  <c r="C20" i="10"/>
  <c r="C22" i="10"/>
  <c r="J148" i="4"/>
  <c r="J157" i="4" s="1"/>
  <c r="G106" i="5"/>
  <c r="H106" i="5" s="1"/>
  <c r="K148" i="4"/>
  <c r="I105" i="5"/>
  <c r="M147" i="4"/>
  <c r="K161" i="4"/>
  <c r="L147" i="4"/>
  <c r="C21" i="10"/>
  <c r="I107" i="5"/>
  <c r="J107" i="5" s="1"/>
  <c r="L149" i="4"/>
  <c r="M149" i="4"/>
  <c r="H65" i="8"/>
  <c r="I65" i="8" s="1"/>
  <c r="J105" i="5" l="1"/>
  <c r="I106" i="5"/>
  <c r="J106" i="5" s="1"/>
  <c r="M148" i="4"/>
  <c r="L64" i="8" s="1"/>
  <c r="M64" i="8" s="1"/>
  <c r="L148" i="4"/>
  <c r="L157" i="4" s="1"/>
  <c r="K105" i="5"/>
  <c r="N147" i="4"/>
  <c r="O147" i="4"/>
  <c r="J65" i="8"/>
  <c r="K65" i="8" s="1"/>
  <c r="J63" i="8"/>
  <c r="K63" i="8" s="1"/>
  <c r="K107" i="5"/>
  <c r="L107" i="5" s="1"/>
  <c r="N149" i="4"/>
  <c r="O149" i="4"/>
  <c r="J64" i="8"/>
  <c r="K64" i="8" s="1"/>
  <c r="G108" i="5"/>
  <c r="I78" i="8"/>
  <c r="H108" i="5"/>
  <c r="M105" i="5" l="1"/>
  <c r="Q147" i="4"/>
  <c r="P147" i="4"/>
  <c r="L105" i="5"/>
  <c r="K108" i="5"/>
  <c r="J108" i="5"/>
  <c r="M107" i="5"/>
  <c r="N107" i="5" s="1"/>
  <c r="Q149" i="4"/>
  <c r="P149" i="4"/>
  <c r="K106" i="5"/>
  <c r="L106" i="5" s="1"/>
  <c r="O148" i="4"/>
  <c r="N63" i="8" s="1"/>
  <c r="O63" i="8" s="1"/>
  <c r="N148" i="4"/>
  <c r="N157" i="4" s="1"/>
  <c r="L65" i="8"/>
  <c r="M65" i="8" s="1"/>
  <c r="M161" i="4"/>
  <c r="L63" i="8"/>
  <c r="M63" i="8" s="1"/>
  <c r="I108" i="5"/>
  <c r="K78" i="8"/>
  <c r="O161" i="4" l="1"/>
  <c r="N65" i="8"/>
  <c r="O65" i="8" s="1"/>
  <c r="P64" i="8"/>
  <c r="Q64" i="8" s="1"/>
  <c r="O105" i="5"/>
  <c r="S147" i="4"/>
  <c r="R147" i="4"/>
  <c r="N105" i="5"/>
  <c r="N64" i="8"/>
  <c r="O64" i="8" s="1"/>
  <c r="L108" i="5"/>
  <c r="M106" i="5"/>
  <c r="N106" i="5" s="1"/>
  <c r="P148" i="4"/>
  <c r="Q148" i="4"/>
  <c r="M78" i="8"/>
  <c r="O107" i="5"/>
  <c r="P107" i="5" s="1"/>
  <c r="S149" i="4"/>
  <c r="R149" i="4"/>
  <c r="P157" i="4"/>
  <c r="M108" i="5" l="1"/>
  <c r="R148" i="4"/>
  <c r="R157" i="4" s="1"/>
  <c r="O106" i="5"/>
  <c r="P106" i="5" s="1"/>
  <c r="S148" i="4"/>
  <c r="S161" i="4" s="1"/>
  <c r="Q105" i="5"/>
  <c r="U147" i="4"/>
  <c r="T147" i="4"/>
  <c r="Q161" i="4"/>
  <c r="P105" i="5"/>
  <c r="N108" i="5"/>
  <c r="O78" i="8"/>
  <c r="P63" i="8"/>
  <c r="Q63" i="8" s="1"/>
  <c r="Q107" i="5"/>
  <c r="R107" i="5" s="1"/>
  <c r="T149" i="4"/>
  <c r="U149" i="4"/>
  <c r="P65" i="8"/>
  <c r="Q65" i="8" s="1"/>
  <c r="T157" i="4" l="1"/>
  <c r="O108" i="5"/>
  <c r="Q106" i="5"/>
  <c r="R106" i="5" s="1"/>
  <c r="U148" i="4"/>
  <c r="U161" i="4" s="1"/>
  <c r="T148" i="4"/>
  <c r="R105" i="5"/>
  <c r="R65" i="8"/>
  <c r="S65" i="8" s="1"/>
  <c r="R64" i="8"/>
  <c r="S64" i="8" s="1"/>
  <c r="Q78" i="8"/>
  <c r="R63" i="8"/>
  <c r="S63" i="8" s="1"/>
  <c r="S105" i="5"/>
  <c r="V147" i="4"/>
  <c r="W147" i="4"/>
  <c r="S107" i="5"/>
  <c r="T107" i="5" s="1"/>
  <c r="V149" i="4"/>
  <c r="W149" i="4"/>
  <c r="P108" i="5"/>
  <c r="T63" i="8" l="1"/>
  <c r="U63" i="8" s="1"/>
  <c r="T64" i="8"/>
  <c r="U64" i="8" s="1"/>
  <c r="T65" i="8"/>
  <c r="U65" i="8" s="1"/>
  <c r="U78" i="8" s="1"/>
  <c r="V65" i="8"/>
  <c r="W65" i="8" s="1"/>
  <c r="U105" i="5"/>
  <c r="V63" i="8"/>
  <c r="W63" i="8" s="1"/>
  <c r="Y147" i="4"/>
  <c r="X147" i="4"/>
  <c r="Q108" i="5"/>
  <c r="T105" i="5"/>
  <c r="Y149" i="4"/>
  <c r="U107" i="5"/>
  <c r="V107" i="5" s="1"/>
  <c r="X149" i="4"/>
  <c r="R108" i="5"/>
  <c r="S78" i="8"/>
  <c r="S106" i="5"/>
  <c r="T106" i="5" s="1"/>
  <c r="W148" i="4"/>
  <c r="V64" i="8" s="1"/>
  <c r="W64" i="8" s="1"/>
  <c r="V148" i="4"/>
  <c r="V157" i="4" s="1"/>
  <c r="V105" i="5" l="1"/>
  <c r="U108" i="5"/>
  <c r="U106" i="5"/>
  <c r="V106" i="5" s="1"/>
  <c r="X148" i="4"/>
  <c r="X157" i="4" s="1"/>
  <c r="Y148" i="4"/>
  <c r="X65" i="8" s="1"/>
  <c r="Y65" i="8" s="1"/>
  <c r="W107" i="5"/>
  <c r="X107" i="5" s="1"/>
  <c r="AA149" i="4"/>
  <c r="Z149" i="4"/>
  <c r="C149" i="4"/>
  <c r="D149" i="4" s="1"/>
  <c r="E22" i="6" s="1"/>
  <c r="W161" i="4"/>
  <c r="W78" i="8"/>
  <c r="S108" i="5"/>
  <c r="T108" i="5"/>
  <c r="X64" i="8"/>
  <c r="Y64" i="8" s="1"/>
  <c r="W105" i="5"/>
  <c r="AA147" i="4"/>
  <c r="Z147" i="4"/>
  <c r="Y161" i="4"/>
  <c r="Y107" i="5" l="1"/>
  <c r="Z107" i="5" s="1"/>
  <c r="B107" i="5" s="1"/>
  <c r="AB149" i="4"/>
  <c r="V108" i="5"/>
  <c r="Z148" i="4"/>
  <c r="Z157" i="4" s="1"/>
  <c r="W106" i="5"/>
  <c r="X106" i="5" s="1"/>
  <c r="AA148" i="4"/>
  <c r="Z63" i="8" s="1"/>
  <c r="AA63" i="8" s="1"/>
  <c r="Y105" i="5"/>
  <c r="AB147" i="4"/>
  <c r="C147" i="4"/>
  <c r="X63" i="8"/>
  <c r="Y63" i="8" s="1"/>
  <c r="X105" i="5"/>
  <c r="X108" i="5" s="1"/>
  <c r="W108" i="5"/>
  <c r="Z64" i="8" l="1"/>
  <c r="AA64" i="8" s="1"/>
  <c r="AB64" i="8" s="1"/>
  <c r="Z65" i="8"/>
  <c r="AA65" i="8" s="1"/>
  <c r="AB65" i="8" s="1"/>
  <c r="Y78" i="8"/>
  <c r="AB63" i="8"/>
  <c r="AB78" i="8" s="1"/>
  <c r="J6" i="8" s="1"/>
  <c r="D11" i="10" s="1"/>
  <c r="Y106" i="5"/>
  <c r="Z106" i="5" s="1"/>
  <c r="B106" i="5" s="1"/>
  <c r="AB148" i="4"/>
  <c r="AB157" i="4" s="1"/>
  <c r="C148" i="4"/>
  <c r="D148" i="4" s="1"/>
  <c r="E21" i="6" s="1"/>
  <c r="AA161" i="4"/>
  <c r="D147" i="4"/>
  <c r="Z105" i="5"/>
  <c r="B105" i="5"/>
  <c r="Y108" i="5" l="1"/>
  <c r="AA78" i="8"/>
  <c r="Z108" i="5"/>
  <c r="B108" i="5" s="1"/>
  <c r="D13" i="10"/>
  <c r="D21" i="10" s="1"/>
  <c r="E20" i="6"/>
  <c r="E30" i="6" s="1"/>
  <c r="D14" i="10" s="1"/>
  <c r="D157" i="4"/>
  <c r="C161" i="4"/>
  <c r="D15" i="10" l="1"/>
  <c r="E142" i="4"/>
  <c r="G142" i="4"/>
  <c r="I142" i="4"/>
  <c r="K142" i="4"/>
  <c r="M142" i="4"/>
  <c r="O142" i="4"/>
  <c r="Q142" i="4"/>
  <c r="S142" i="4"/>
  <c r="U142" i="4"/>
  <c r="W142" i="4"/>
  <c r="Y142" i="4"/>
  <c r="D16" i="10"/>
  <c r="D20" i="10"/>
  <c r="D22" i="10"/>
  <c r="AA14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800-000001000000}">
      <text>
        <r>
          <rPr>
            <sz val="11"/>
            <color theme="1"/>
            <rFont val="Arial"/>
            <scheme val="minor"/>
          </rPr>
          <t>Este puesto cubrirá los siguientes puestos:
Jefe de compras, jefe de finanzas, jefe de ventas, subjefe de ventas, analista de compras, administrativo de ventas, administrativo de cobranzas, administrativo de compras, auxiliar administrativo</t>
        </r>
      </text>
    </comment>
    <comment ref="C21" authorId="0" shapeId="0" xr:uid="{00000000-0006-0000-0800-000002000000}">
      <text>
        <r>
          <rPr>
            <sz val="11"/>
            <color theme="1"/>
            <rFont val="Arial"/>
            <scheme val="minor"/>
          </rPr>
          <t>Este puesto sera tercerizado</t>
        </r>
      </text>
    </comment>
    <comment ref="C23" authorId="0" shapeId="0" xr:uid="{00000000-0006-0000-0800-000003000000}">
      <text>
        <r>
          <rPr>
            <sz val="11"/>
            <color theme="1"/>
            <rFont val="Arial"/>
            <scheme val="minor"/>
          </rPr>
          <t>Este puesto sera tercerizado</t>
        </r>
      </text>
    </comment>
    <comment ref="C26" authorId="0" shapeId="0" xr:uid="{00000000-0006-0000-0800-000004000000}">
      <text>
        <r>
          <rPr>
            <sz val="11"/>
            <color theme="1"/>
            <rFont val="Arial"/>
            <scheme val="minor"/>
          </rPr>
          <t>Este puesto sera tercerizado</t>
        </r>
      </text>
    </comment>
    <comment ref="C29" authorId="0" shapeId="0" xr:uid="{00000000-0006-0000-0800-000005000000}">
      <text>
        <r>
          <rPr>
            <sz val="11"/>
            <color theme="1"/>
            <rFont val="Arial"/>
            <scheme val="minor"/>
          </rPr>
          <t>Este puesto sera tercerizado</t>
        </r>
      </text>
    </comment>
    <comment ref="C30" authorId="0" shapeId="0" xr:uid="{00000000-0006-0000-0800-000006000000}">
      <text>
        <r>
          <rPr>
            <sz val="11"/>
            <color theme="1"/>
            <rFont val="Arial"/>
            <scheme val="minor"/>
          </rPr>
          <t>Este puesto sera tercerizado</t>
        </r>
      </text>
    </comment>
    <comment ref="C32" authorId="0" shapeId="0" xr:uid="{00000000-0006-0000-0800-000007000000}">
      <text>
        <r>
          <rPr>
            <sz val="11"/>
            <color theme="1"/>
            <rFont val="Arial"/>
            <scheme val="minor"/>
          </rPr>
          <t>Este puesto cubrirá las siguientes posiciones:
Lider de finanzas, lider de operacions comerciales, coordinador de instalaciones, analista de producto, ejecutivo comercial, analista de logistica, analista de marketing, diseñador de contenido, asistente de marketing</t>
        </r>
      </text>
    </comment>
    <comment ref="C42" authorId="0" shapeId="0" xr:uid="{00000000-0006-0000-0800-000008000000}">
      <text>
        <r>
          <rPr>
            <sz val="11"/>
            <color theme="1"/>
            <rFont val="Arial"/>
            <scheme val="minor"/>
          </rPr>
          <t>Este puesto cubrira las siguientes posiciones:
Gerente general, Devops, arquitecto cloud, especialista en hardware, desarrollador backend SR, desarrollador frontend SR, coordinador tecnico, especialista en redes, QA, auxiliar tecnico</t>
        </r>
      </text>
    </comment>
    <comment ref="C50" authorId="0" shapeId="0" xr:uid="{00000000-0006-0000-0800-000009000000}">
      <text>
        <r>
          <rPr>
            <sz val="11"/>
            <color theme="1"/>
            <rFont val="Arial"/>
            <scheme val="minor"/>
          </rPr>
          <t>Este puesto sera tercerizado</t>
        </r>
      </text>
    </comment>
    <comment ref="C57" authorId="0" shapeId="0" xr:uid="{00000000-0006-0000-0800-00000A000000}">
      <text>
        <r>
          <rPr>
            <sz val="11"/>
            <color theme="1"/>
            <rFont val="Arial"/>
            <scheme val="minor"/>
          </rPr>
          <t>Este puesto sera tercerizado</t>
        </r>
      </text>
    </comment>
    <comment ref="C58" authorId="0" shapeId="0" xr:uid="{00000000-0006-0000-0800-00000B000000}">
      <text>
        <r>
          <rPr>
            <sz val="11"/>
            <color theme="1"/>
            <rFont val="Arial"/>
            <scheme val="minor"/>
          </rPr>
          <t>Este puesto se encargara de cubrir las siguientes posiciones:
Gerente de servicio tecnico, coordinador tecnico, coordinador de operaciones, tecnico de plataforma, operador de monitoreo y tecnico de soporte</t>
        </r>
      </text>
    </comment>
    <comment ref="C62" authorId="0" shapeId="0" xr:uid="{00000000-0006-0000-0800-00000C000000}">
      <text>
        <r>
          <rPr>
            <sz val="11"/>
            <color theme="1"/>
            <rFont val="Arial"/>
            <scheme val="minor"/>
          </rPr>
          <t>Este puesto se encargara de cubrir las siguientes posiciones:
Tecnico de inventario, auxiliar administrativo, auxiliar logístico, auxiliar operativo</t>
        </r>
      </text>
    </comment>
    <comment ref="C64" authorId="0" shapeId="0" xr:uid="{00000000-0006-0000-0800-00000D000000}">
      <text>
        <r>
          <rPr>
            <sz val="11"/>
            <color theme="1"/>
            <rFont val="Arial"/>
            <scheme val="minor"/>
          </rPr>
          <t>Este puesto sera tercerizado</t>
        </r>
      </text>
    </comment>
    <comment ref="C68" authorId="0" shapeId="0" xr:uid="{00000000-0006-0000-0800-00000E000000}">
      <text>
        <r>
          <rPr>
            <sz val="11"/>
            <color theme="1"/>
            <rFont val="Arial"/>
            <scheme val="minor"/>
          </rPr>
          <t>Este puesto se encargará de cubrir los siguientes puestos:
Ejecutivo de cuentas, representante de posventa</t>
        </r>
      </text>
    </comment>
  </commentList>
</comments>
</file>

<file path=xl/sharedStrings.xml><?xml version="1.0" encoding="utf-8"?>
<sst xmlns="http://schemas.openxmlformats.org/spreadsheetml/2006/main" count="1787" uniqueCount="454">
  <si>
    <t>TRABAJO FINAL DE INGENIERÍA</t>
  </si>
  <si>
    <t>Alumno: Gómez Avellaneda, Javier</t>
  </si>
  <si>
    <t>Legajo: B00074234-T1</t>
  </si>
  <si>
    <t>Docentes: Scali, Jorge — Vilaboa, Pablo</t>
  </si>
  <si>
    <t>Comisión: 5° A - Turno Noche</t>
  </si>
  <si>
    <t>Localización: Ciudad Autónoma de Buenos Aires</t>
  </si>
  <si>
    <t>Índice</t>
  </si>
  <si>
    <t>Hipótesis</t>
  </si>
  <si>
    <t>Proyección de ventas</t>
  </si>
  <si>
    <t>Anexo de capacidad operativa</t>
  </si>
  <si>
    <t>Modelo de ingresos</t>
  </si>
  <si>
    <t>Estructura de costos fijos</t>
  </si>
  <si>
    <t>Estructura de costos variables</t>
  </si>
  <si>
    <t>Estructura de costos de RRHH</t>
  </si>
  <si>
    <t>Modelo de egresos</t>
  </si>
  <si>
    <t>Modelo de inversión</t>
  </si>
  <si>
    <t>Amortizaciones</t>
  </si>
  <si>
    <t>Presupuesto financiero</t>
  </si>
  <si>
    <t>Matriz de riesgos</t>
  </si>
  <si>
    <t>Escenario 1</t>
  </si>
  <si>
    <t>Escenario 2</t>
  </si>
  <si>
    <t>Escenario 3</t>
  </si>
  <si>
    <t>Plan de contingencia</t>
  </si>
  <si>
    <t>1 - Descripción del negocio</t>
  </si>
  <si>
    <t>ShopMetrics es una Empresa de Base Tecnológica (EBT) que desarrolla y explota software propio bajo modalidad SaaS para el comercio minorista. El negocio no consiste en la venta de dispositivos de conteo, sino en la provisión de un ecosistema de medición del embudo comercial del local: cuántas personas pasan por delante, cuántas se detienen frente a la vidriera, cuántas entran y cuántas compran. Los datos se capturan con infraestructura propia instalada en el local (sensores de vidriera y contadores de puerta que publican únicamente cantidades, nunca imágenes) y se integran de forma automática con el sistema de punto de venta que el comercio ya utiliza; sobre esa base, modelos propios de Machine Learning convierten la medición en decisiones de exhibición, dotación de personal y horario de atención. El servicio se contrata con un abono mensual y un cargo de alta e instalación por única vez, y los equipos se entregan en comodato, de modo que el comercio no afronta inversión inicial. Todos los importes de este presupuesto están expresados en dólares.</t>
  </si>
  <si>
    <t>2 - Mercado meta</t>
  </si>
  <si>
    <t>Comercios minoristas de indumentaria, textiles y calzado, de entre uno y cinco locales y hasta nueve ocupados, con local a la calle y vidriera a la vereda, ubicados en los ejes comerciales de mayor densidad del AMBA, con cabecera en el eje Avellaneda.</t>
  </si>
  <si>
    <t>Comercios</t>
  </si>
  <si>
    <t>Gasto promedio anual (USD)</t>
  </si>
  <si>
    <t>Total mercado (USD)</t>
  </si>
  <si>
    <t>3 - Participación del mercado</t>
  </si>
  <si>
    <t>Participación del 15% del segmento objetivo al cierre del tercer año, con una progresión de 3% el primer año, 8% el segundo y 15% el tercero. La progresión es moderada porque se trata de un emprendimiento que recién arranca y porque el segmento ya está acotado por la segmentación: son 3.400 comercios de un solo rubro en los ejes relevados de la Ciudad de Buenos Aires. El salto del segundo al tercer año duplica la cartera, por lo que requiere un esfuerzo adicional de promoción que se refleja en el modelo de egresos.</t>
  </si>
  <si>
    <t>Evolución de la participación en el mercado</t>
  </si>
  <si>
    <t>Año</t>
  </si>
  <si>
    <t>Cantidad</t>
  </si>
  <si>
    <t>Porcentaje</t>
  </si>
  <si>
    <t>Total (USD)</t>
  </si>
  <si>
    <t>2026</t>
  </si>
  <si>
    <t>102 comercios</t>
  </si>
  <si>
    <t>2027</t>
  </si>
  <si>
    <t>272 comercios</t>
  </si>
  <si>
    <t>2028</t>
  </si>
  <si>
    <t>510 comercios</t>
  </si>
  <si>
    <t>Detalle: el gasto promedio anual de USD 480 por comercio corresponde a lo que un comercio minorista chico destina hoy a software de gestión y analítica. Se toma como referencia la lista de precios pública de Fudo, uno de los siete sistemas de punto de venta con los que la plataforma se integra, cuyo plan de entrada se ubica en el orden de los USD 40 mensuales por sucursal. La cantidad de 3.400 comercios surge de aplicar la participación del rubro Indumentaria, textiles y calzado (24,3%) sobre los 14.083 locales ocupados que releva el Instituto de Estadística y Censos de la Ciudad de Buenos Aires en sus ejes comerciales.</t>
  </si>
  <si>
    <t>4 - Otros datos</t>
  </si>
  <si>
    <t>Líneas de servicios</t>
  </si>
  <si>
    <t>VERSIONES DEL SERVICIO</t>
  </si>
  <si>
    <t>Alta e instalación</t>
  </si>
  <si>
    <t>Abono mensual</t>
  </si>
  <si>
    <t>PROFUNDIDAD DE LAS LÍNEAS DE SERVICIOS</t>
  </si>
  <si>
    <t>Plan Básico</t>
  </si>
  <si>
    <t>Plan Vidriera</t>
  </si>
  <si>
    <t>Plan Cadena</t>
  </si>
  <si>
    <t>Lista de precios (USD)</t>
  </si>
  <si>
    <t>Servicio</t>
  </si>
  <si>
    <t>Precio</t>
  </si>
  <si>
    <t>Detalle</t>
  </si>
  <si>
    <t>Modalidad de cobro</t>
  </si>
  <si>
    <t>Alta e instalación Plan Básico</t>
  </si>
  <si>
    <t>Por única vez. Alta remota: conexión con el sistema de punto de venta y verificación de datos. No requiere visita al local.</t>
  </si>
  <si>
    <t>Cobro por única vez</t>
  </si>
  <si>
    <t>Alta e instalación Plan Vidriera</t>
  </si>
  <si>
    <t>Por única vez. Visita al local: montaje del sensor de vidriera y del contador de puerta, conexión del punto de venta y prueba del embudo.</t>
  </si>
  <si>
    <t>Alta e instalación Plan Cadena</t>
  </si>
  <si>
    <t>Por única vez. Instalación en hasta cinco locales de una misma cadena.</t>
  </si>
  <si>
    <t>Abono Plan Básico</t>
  </si>
  <si>
    <t>Analítica de ventas por hora, ticket promedio y rotación, a partir del punto de venta. Sin dispositivos de conteo. Es la puerta de entrada comercial.</t>
  </si>
  <si>
    <t>Cobro mensual</t>
  </si>
  <si>
    <t>Abono Plan Vidriera</t>
  </si>
  <si>
    <t>Embudo completo del local: pasan, se detienen, entran y compran, más comparación anónima contra el rubro y alertas automáticas. Es el plan principal.</t>
  </si>
  <si>
    <t>Abono Plan Cadena</t>
  </si>
  <si>
    <t>Hasta cinco locales: embudo por local, comparación entre sucursales y consolidado de toda la red.</t>
  </si>
  <si>
    <t>Evolución de la participación</t>
  </si>
  <si>
    <t>Justificación ingresos</t>
  </si>
  <si>
    <t>Los ingresos no se distribuyen de manera uniforme en el año. El abono es mensual y las suscripciones se acumulan: el comercio que se da de alta en marzo sigue pagando en abril, de modo que el ingreso recurrente crece mes a mes aunque la cantidad de altas se mantenga constante. Los cargos de alta e instalación, en cambio, se cobran por única vez en el mes en que ingresa el comercio. El primer trimestre de 2026 tiene pocas altas porque se destina a poner a punto el proceso de instalación sobre los primeros comercios del eje Avellaneda; a partir de allí la captación crece de manera sostenida.</t>
  </si>
  <si>
    <t>.</t>
  </si>
  <si>
    <t>Proyección de ventas 2026</t>
  </si>
  <si>
    <t>Producto</t>
  </si>
  <si>
    <t>Anual</t>
  </si>
  <si>
    <t>Enero</t>
  </si>
  <si>
    <t>Febrero</t>
  </si>
  <si>
    <t>Marzo</t>
  </si>
  <si>
    <t>Abril</t>
  </si>
  <si>
    <t>Mayo</t>
  </si>
  <si>
    <t>Junio</t>
  </si>
  <si>
    <t>Julio</t>
  </si>
  <si>
    <t>Agosto</t>
  </si>
  <si>
    <t>Septiembre</t>
  </si>
  <si>
    <t>Octubre</t>
  </si>
  <si>
    <t>Noviembre</t>
  </si>
  <si>
    <t>Diciembre</t>
  </si>
  <si>
    <t>Ingresos</t>
  </si>
  <si>
    <t>Ingreso Total</t>
  </si>
  <si>
    <t>Capacidad operativa Kick off - Año 2026</t>
  </si>
  <si>
    <t>Comentarios</t>
  </si>
  <si>
    <t>* Se arranca con el equipo fundador y un técnico. En julio se suma un segundo vendedor para sostener el ritmo de altas del segundo semestre.</t>
  </si>
  <si>
    <t>Concepto</t>
  </si>
  <si>
    <t>Año cero - Kick off</t>
  </si>
  <si>
    <t>Año 2026</t>
  </si>
  <si>
    <t>RRHH</t>
  </si>
  <si>
    <t>Gerente general</t>
  </si>
  <si>
    <t>Sin cambios</t>
  </si>
  <si>
    <t>Gerente de sistemas</t>
  </si>
  <si>
    <t>Desarrollador</t>
  </si>
  <si>
    <t>Técnico de instalación y soporte</t>
  </si>
  <si>
    <t>Vendedor</t>
  </si>
  <si>
    <t>Vendedor (+1)</t>
  </si>
  <si>
    <t>Infraestructura</t>
  </si>
  <si>
    <t>Oficina</t>
  </si>
  <si>
    <t>Oficina (+1 alquiler)</t>
  </si>
  <si>
    <t>Notebooks</t>
  </si>
  <si>
    <t>Notebooks (+3)</t>
  </si>
  <si>
    <t>Notebooks (+1)</t>
  </si>
  <si>
    <t>Escritorios</t>
  </si>
  <si>
    <t>Escritorios (+2)</t>
  </si>
  <si>
    <t>Sillas de escritorio</t>
  </si>
  <si>
    <t>Sillas de escritorio (+4)</t>
  </si>
  <si>
    <t>Capital de trabajo</t>
  </si>
  <si>
    <t>Sensores de vidriera</t>
  </si>
  <si>
    <t>Sensores de vidriera (+30)</t>
  </si>
  <si>
    <t>Contadores de puerta</t>
  </si>
  <si>
    <t>Contadores de puerta (+30)</t>
  </si>
  <si>
    <t>Gateways de conexión</t>
  </si>
  <si>
    <t>Gateways de conexión (+30)</t>
  </si>
  <si>
    <t>Kits de montaje</t>
  </si>
  <si>
    <t>Kits de montaje (+30)</t>
  </si>
  <si>
    <t>Proyección de ventas 2027</t>
  </si>
  <si>
    <t>Capacidad operativa - Año 2027</t>
  </si>
  <si>
    <t>* En enero se contratará un auxiliar de soporte que trabajará con horarios rotativos en conjunto con el anterior empleado para cubrir una mayor franja horaria de soporte.
* En marzo se contratará un auxiliar de ventas para poder cumplir con los objetivos del nuevo año.
* Capital de trabajo: se seguira incrementando el stock de sensores para cubrir las instalaciones de los nuevos clientes y posibles fallos que puedan suceder de clientes ya existentes.</t>
  </si>
  <si>
    <t>Técnico de instalación y soporte (+1)</t>
  </si>
  <si>
    <t>Escritorios (+1)</t>
  </si>
  <si>
    <t>Sillas de escritorio (+2)</t>
  </si>
  <si>
    <t>Sensores de vidriera (+50)</t>
  </si>
  <si>
    <t>Contadores de puerta (+50)</t>
  </si>
  <si>
    <t>Gateways de conexión (+50)</t>
  </si>
  <si>
    <t>Kits de montaje (+50)</t>
  </si>
  <si>
    <t>Proyección de ventas 2028</t>
  </si>
  <si>
    <t>Capacidad operativa - Año 2028</t>
  </si>
  <si>
    <t>* En febrero y junio se contratarán 3 auxiliares de soporte para cubrir la demanda de los nuevos clientes.
* En enero se contratará un gerente comercial para poder cumplir con los objetivos del nuevo año.
* Capital de trabajo: se seguira incrementando el stock de sensores para cubrir las instalaciones de los nuevos clientes y posibles fallos que puedan suceder de clientes ya existentes.</t>
  </si>
  <si>
    <t>Notebooks (+5)</t>
  </si>
  <si>
    <t>Sensores de vidriera (+80)</t>
  </si>
  <si>
    <t>Sensores de vidriera (+60)</t>
  </si>
  <si>
    <t>Contadores de puerta (+80)</t>
  </si>
  <si>
    <t>Contadores de puerta (+60)</t>
  </si>
  <si>
    <t>Gateways de conexión (+80)</t>
  </si>
  <si>
    <t>Gateways de conexión (+60)</t>
  </si>
  <si>
    <t>Kits de montaje (+80)</t>
  </si>
  <si>
    <t>Kits de montaje (+60)</t>
  </si>
  <si>
    <t>Anexo capacidad operativa</t>
  </si>
  <si>
    <t>Instalación y alta de los planes ShopMetrics</t>
  </si>
  <si>
    <t>Soporte mensual por plan</t>
  </si>
  <si>
    <t>Sueldo tecnico por hora:</t>
  </si>
  <si>
    <t>Coste del kit de instalación</t>
  </si>
  <si>
    <t>Coste del soporte mensual</t>
  </si>
  <si>
    <t>Cálculo de horas laborables de un empleado por mes</t>
  </si>
  <si>
    <t>Semanas por año</t>
  </si>
  <si>
    <t>semanas</t>
  </si>
  <si>
    <t>Semanas de licencias varias al año</t>
  </si>
  <si>
    <t>Días festivos</t>
  </si>
  <si>
    <t>días</t>
  </si>
  <si>
    <t>Días laborales totales</t>
  </si>
  <si>
    <t>Jornada laboral</t>
  </si>
  <si>
    <t>horas</t>
  </si>
  <si>
    <t>Alta remota: conexión con el punto de venta</t>
  </si>
  <si>
    <t>Horas laborables anuales por empleado</t>
  </si>
  <si>
    <t>Visita al local: sensor de vidriera + contador de puerta</t>
  </si>
  <si>
    <t>Consideraremos en promedio:</t>
  </si>
  <si>
    <t>Horas laborables anuales / empleado</t>
  </si>
  <si>
    <t>Instalación en hasta cinco locales de una cadena</t>
  </si>
  <si>
    <t>Horas laborables mensuales / empleado
[HsLaboralesXMes]</t>
  </si>
  <si>
    <t>Soporte mensual Plan Básico</t>
  </si>
  <si>
    <t>Kit Plan Básico</t>
  </si>
  <si>
    <t>N° de tarea</t>
  </si>
  <si>
    <t>Descripción</t>
  </si>
  <si>
    <t>Base horaria [BH]</t>
  </si>
  <si>
    <t>Cantidad requerida
[Cant]</t>
  </si>
  <si>
    <t>Horas por tarea
Fórmula = Cant * BH</t>
  </si>
  <si>
    <t>Componente</t>
  </si>
  <si>
    <t>Precio unitario</t>
  </si>
  <si>
    <t>Subtotal</t>
  </si>
  <si>
    <t>Contacto y coordinación</t>
  </si>
  <si>
    <t>Monitoreo de ingesta</t>
  </si>
  <si>
    <t>Instalación (mano de obra)</t>
  </si>
  <si>
    <t>Servicio técnico</t>
  </si>
  <si>
    <t>Alta en la plataforma</t>
  </si>
  <si>
    <t>Atención de consultas</t>
  </si>
  <si>
    <t>Conexión con el punto de venta</t>
  </si>
  <si>
    <t>Reporte mensual</t>
  </si>
  <si>
    <t>Verificación de los datos</t>
  </si>
  <si>
    <t>Capacitación remota</t>
  </si>
  <si>
    <t>Total</t>
  </si>
  <si>
    <t>Comentarios: el alta del Plan Básico es remota, no requiere visita.</t>
  </si>
  <si>
    <t>Horas totales por servicio
[HsTotalesXServicio]
Fórmula = Σ Horas por tarea del servicio</t>
  </si>
  <si>
    <t>Coste por instalación</t>
  </si>
  <si>
    <t>Comentarios: soporte enteramente remoto.</t>
  </si>
  <si>
    <t>Horas totales por servicio [HsTotalesXServicio]</t>
  </si>
  <si>
    <t xml:space="preserve">Capacidad operativa mensual por proyecto
Fórmula = HsTotalesXSer / HsLaboralesXMes </t>
  </si>
  <si>
    <t xml:space="preserve">Capacidad operativa mensual por proyecto
</t>
  </si>
  <si>
    <t>Soporte mensual Plan Vidriera</t>
  </si>
  <si>
    <t>Kit Plan Vidriera</t>
  </si>
  <si>
    <t>Coordinación y armado del kit</t>
  </si>
  <si>
    <t>Sensor de vidriera</t>
  </si>
  <si>
    <t>Traslado al local</t>
  </si>
  <si>
    <t>Control del sensor</t>
  </si>
  <si>
    <t>Contador de puerta</t>
  </si>
  <si>
    <t>Montaje del sensor de vidriera</t>
  </si>
  <si>
    <t>Gateway de conexión</t>
  </si>
  <si>
    <t>Instalación contador de puerta</t>
  </si>
  <si>
    <t>Kit de montaje</t>
  </si>
  <si>
    <t>Prueba del embudo</t>
  </si>
  <si>
    <t>Capacitación y cierre</t>
  </si>
  <si>
    <t>Comentarios: incluye traslado y montaje del equipamiento en vidriera.</t>
  </si>
  <si>
    <t>Comentarios: suma el control del sensor de vidriera.</t>
  </si>
  <si>
    <t xml:space="preserve">Capacidad operativa mensual por empleado
Fórmula = HsTotalesXSer / HsLaboralesXMes </t>
  </si>
  <si>
    <t>Soporte mensual Plan Cadena</t>
  </si>
  <si>
    <t>Kit Plan Cadena</t>
  </si>
  <si>
    <t>Relevamiento de la cadena</t>
  </si>
  <si>
    <t>Monitoreo por local</t>
  </si>
  <si>
    <t>Alta de cadena y sucursales</t>
  </si>
  <si>
    <t>Control de sensores</t>
  </si>
  <si>
    <t>Traslado entre locales</t>
  </si>
  <si>
    <t>Consultas del titular</t>
  </si>
  <si>
    <t>Montaje sensor de vidriera</t>
  </si>
  <si>
    <t>Reporte comparativo</t>
  </si>
  <si>
    <t>Conexión del punto de venta</t>
  </si>
  <si>
    <t>Prueba comparativa</t>
  </si>
  <si>
    <t>Capacitación del responsable</t>
  </si>
  <si>
    <t>Comentarios: cubre hasta cinco locales de una misma cadena.</t>
  </si>
  <si>
    <t>Comentarios: el monitoreo se repite por local.</t>
  </si>
  <si>
    <t>Detalle: el soporte por plan es mensual y se sostiene mientras el comercio permanece abonado.</t>
  </si>
  <si>
    <t>ANALISIS CAPACIDAD OPERATIVA ANUAL POR SERVICIO EN HORAS HOMBRE</t>
  </si>
  <si>
    <t>CAPACIDAD OPERATIVA AÑO 2026</t>
  </si>
  <si>
    <t>Unidades requeridas</t>
  </si>
  <si>
    <t>Horas Hombre requeridas</t>
  </si>
  <si>
    <t>Horas Hombre requeridos</t>
  </si>
  <si>
    <t>TOTALES</t>
  </si>
  <si>
    <t>CAPACIDAD OPERATIVA AÑO 2027</t>
  </si>
  <si>
    <t>CAPACIDAD OPERATIVA AÑO 2028</t>
  </si>
  <si>
    <t>CONCLUSIÓN</t>
  </si>
  <si>
    <t>El anexo dimensiona la capacidad operativa desde la demanda. Cada plan tiene un consumo horario propio, obtenido de la suma de las tareas que requiere su alta, y un consumo mensual de soporte que se sostiene mientras el comercio permanece abonado: 0,50 h el Plan Básico, 3,00 h el Plan Vidriera y 12,00 h el Plan Cadena para el alta; 0,15 h, 0,25 h y 0,60 h al mes para el soporte.
Multiplicando esas bases horarias por las unidades de la proyección de ventas se obtienen las horas hombre requeridas mes a mes. El total asciende a 440,75 horas en 2026, 1.113,75 en 2027 y 1.982,10 en 2028, con picos mensuales de 87,50, 123,35 y 189,65 horas respectivamente. Contra las 150 horas laborables mensuales de un empleado, la dotación técnica necesaria es de un técnico en 2026 y 2027, y de dos a partir de marzo de 2028. El mes en que ese cociente supera la unidad es el que marca la incorporación en la estructura de costos de recursos humanos: la contratación no se decide por criterio, se desprende del volumen proyectado.
El costo de mano de obra por alta resulta de USD 3 en el Plan Básico, USD 18 en el Plan Vidriera y USD 72 en el Plan Cadena, contra precios de lista de USD 25, USD 60 y USD 250. Sumado el kit de equipamiento, el alta cubre el esfuerzo técnico comprometido en los tres planes.</t>
  </si>
  <si>
    <t>Ingresos por servicios</t>
  </si>
  <si>
    <t>Ingresos 2026</t>
  </si>
  <si>
    <t>Ingresos 2027</t>
  </si>
  <si>
    <t>Ingresos 2028</t>
  </si>
  <si>
    <t>Costos fijos - Totales</t>
  </si>
  <si>
    <t>Costos fijos de promoción - Totales</t>
  </si>
  <si>
    <t>Costos fijos - Año 2026</t>
  </si>
  <si>
    <t>Rubro</t>
  </si>
  <si>
    <t>Total anual</t>
  </si>
  <si>
    <t>Observaciones</t>
  </si>
  <si>
    <t>Servicios</t>
  </si>
  <si>
    <t>Luz</t>
  </si>
  <si>
    <t>Agua</t>
  </si>
  <si>
    <t>Internet y telefonía fija</t>
  </si>
  <si>
    <t>Telefonía móvil</t>
  </si>
  <si>
    <t>Una línea por técnico y por vendedor; escala con la dotación.</t>
  </si>
  <si>
    <t>Infraestructura cloud base</t>
  </si>
  <si>
    <t>Capacidad mínima para operar con independencia de la cantidad de comercios activos.</t>
  </si>
  <si>
    <t>Licencias de software</t>
  </si>
  <si>
    <t>Herramientas de desarrollo, monitoreo y productividad.</t>
  </si>
  <si>
    <t>Alquiler</t>
  </si>
  <si>
    <t>En 2028 se amplía el espacio por el crecimiento de la dotación.</t>
  </si>
  <si>
    <t>Auditoría y certificación ISO 27001</t>
  </si>
  <si>
    <t>Implementación durante 2027 y mantenimiento desde 2028.</t>
  </si>
  <si>
    <t>Honorarios</t>
  </si>
  <si>
    <t>Estudio Contable Externo</t>
  </si>
  <si>
    <t>Escala por tramos con la cantidad de empleados.</t>
  </si>
  <si>
    <t>Agencia de marketing</t>
  </si>
  <si>
    <t>Abono mensual; la pauta se imputa aparte.</t>
  </si>
  <si>
    <t>Publicidad online</t>
  </si>
  <si>
    <t>Campañas base en Meta y Google</t>
  </si>
  <si>
    <t>Pauta base permanente; las campañas de captación intensiva van en costos variables.</t>
  </si>
  <si>
    <t>Sitio web, SEO local y WhatsApp Business</t>
  </si>
  <si>
    <t>TOTAL</t>
  </si>
  <si>
    <t>Costos fijos - Año 2027</t>
  </si>
  <si>
    <t>Costos fijos - Año 2028</t>
  </si>
  <si>
    <t>Costos variables - Totales</t>
  </si>
  <si>
    <t>Costos de promoción variables - Totales</t>
  </si>
  <si>
    <t>Costos variables - Año 2026</t>
  </si>
  <si>
    <t>Costo unitario</t>
  </si>
  <si>
    <t>Cant.</t>
  </si>
  <si>
    <t>Costo</t>
  </si>
  <si>
    <t>Operación</t>
  </si>
  <si>
    <t>Comisión del vendedor por alta concretada</t>
  </si>
  <si>
    <t>Movilidad y viáticos de instalación</t>
  </si>
  <si>
    <t>Consumo cloud por comercio activo</t>
  </si>
  <si>
    <t>Gateway de notificaciones</t>
  </si>
  <si>
    <t>Comisiones de medios de pago</t>
  </si>
  <si>
    <t>Reposición de equipamiento no recuperado</t>
  </si>
  <si>
    <t>Promoción</t>
  </si>
  <si>
    <t>Bonificación del alta - Plan Básico</t>
  </si>
  <si>
    <t>Bonificación del alta - Plan Vidriera</t>
  </si>
  <si>
    <t>Bonificación del alta - Plan Cadena</t>
  </si>
  <si>
    <t>Incentivo del programa de referidos</t>
  </si>
  <si>
    <t>Costos variables - Año 2027</t>
  </si>
  <si>
    <t>Costos variables - Año 2028</t>
  </si>
  <si>
    <t>Costos de RRHH - Totales</t>
  </si>
  <si>
    <t>Costo mensual por puesto (USD)</t>
  </si>
  <si>
    <t>Área</t>
  </si>
  <si>
    <t>Puesto</t>
  </si>
  <si>
    <t>Sueldo bruto</t>
  </si>
  <si>
    <t>Jubilación</t>
  </si>
  <si>
    <t>Ley 19.032</t>
  </si>
  <si>
    <t>Obra social</t>
  </si>
  <si>
    <t>F. Nac. Empleo</t>
  </si>
  <si>
    <t>Seg. de Vida</t>
  </si>
  <si>
    <t>ART</t>
  </si>
  <si>
    <t>Total aportes</t>
  </si>
  <si>
    <t>Costo mensual para la empresa</t>
  </si>
  <si>
    <t>Alícuotas patronales</t>
  </si>
  <si>
    <t>Gerencia</t>
  </si>
  <si>
    <t>Gerente General (Fundador / CEO)</t>
  </si>
  <si>
    <t>Gerente de Sistemas (Fundador / CTO)</t>
  </si>
  <si>
    <t>Sistemas</t>
  </si>
  <si>
    <t>Comercial</t>
  </si>
  <si>
    <t>Dotación por mes - Año 2026</t>
  </si>
  <si>
    <t>Dotación al cierre</t>
  </si>
  <si>
    <t>Total dotación</t>
  </si>
  <si>
    <t>Costo de RRHH por mes (USD) - Año 2026</t>
  </si>
  <si>
    <t>Dotación por mes - Año 2027</t>
  </si>
  <si>
    <t>Costo de RRHH por mes (USD) - Año 2027</t>
  </si>
  <si>
    <t>Dotación por mes - Año 2028</t>
  </si>
  <si>
    <t>Costo de RRHH por mes (USD) - Año 2028</t>
  </si>
  <si>
    <t>Costos totales (USD)</t>
  </si>
  <si>
    <t>Costos fijos</t>
  </si>
  <si>
    <t>Costos variables</t>
  </si>
  <si>
    <t>Costos de RRHH</t>
  </si>
  <si>
    <t>Egresos totales</t>
  </si>
  <si>
    <t>Ingresos proyectados</t>
  </si>
  <si>
    <t>Resultado operativo (antes de inversión, amortizaciones e impuestos)</t>
  </si>
  <si>
    <t>Egresos sobre ingresos</t>
  </si>
  <si>
    <t>Composición de los egresos</t>
  </si>
  <si>
    <t>Riesgos</t>
  </si>
  <si>
    <t>Posibles riesgos</t>
  </si>
  <si>
    <t>R1: No alcanzar el volumen mínimo de comercios</t>
  </si>
  <si>
    <t>R2: Rotación de comercios antes de amortizar el alta</t>
  </si>
  <si>
    <t>R3: Ruptura de un conector con un sistema de punto de venta</t>
  </si>
  <si>
    <t>R4: Sostenibilidad financiera de los primeros 18 a 24 meses</t>
  </si>
  <si>
    <t>R5: Restricción a la importación de sensores y gateways</t>
  </si>
  <si>
    <t>R6: Salto cambiario o inflación por encima de lo proyectado</t>
  </si>
  <si>
    <t>R7: Incidente de privacidad o pérdida de datos del comercio</t>
  </si>
  <si>
    <t>R8: Pérdida, robo o rotura del equipamiento en comodato</t>
  </si>
  <si>
    <t>R9: Dependencia de los dos socios fundadores</t>
  </si>
  <si>
    <t>R10: Entrada de un competidor local con precio agresivo</t>
  </si>
  <si>
    <t>Riesgo</t>
  </si>
  <si>
    <t>Causas</t>
  </si>
  <si>
    <t>Efectos cuantitativos (USD)</t>
  </si>
  <si>
    <t>Efectos cualitativos</t>
  </si>
  <si>
    <t>Probabilidad (1-5)</t>
  </si>
  <si>
    <t>Impacto (1-5)</t>
  </si>
  <si>
    <t>Nivel de riesgo (P x I)</t>
  </si>
  <si>
    <t>Escalas de valoración</t>
  </si>
  <si>
    <t>R1</t>
  </si>
  <si>
    <t>No alcanzar el volumen mínimo de comercios. La captación queda por debajo de las 102, 272 y 510 altas acumuladas que proyecta el plan, de modo que el ingreso recurrente no llega a cubrir la estructura fija.</t>
  </si>
  <si>
    <t>- Tasa de conversión por visita menor a la prevista</t>
  </si>
  <si>
    <t>Cada 10% de desvío sobre las 510 altas del año 3 equivale a unos USD 16.000 de ingreso anual no realizado. Un desvío del 30% deja el ingreso 2028 en torno de USD 112.000, por debajo del costo de la dotación prevista.</t>
  </si>
  <si>
    <t>Estructura sobredimensionada frente al ingreso, necesidad de reducir dotación y pérdida de la masa crítica de pares que da valor al benchmarking.</t>
  </si>
  <si>
    <t>Probabilidad (1 a 5)</t>
  </si>
  <si>
    <t>Impacto (1 a 5)</t>
  </si>
  <si>
    <t>Impacto \ Probabilidad</t>
  </si>
  <si>
    <t>Muy improbable (1)</t>
  </si>
  <si>
    <t>No es probable (2)</t>
  </si>
  <si>
    <t>Posible (3)</t>
  </si>
  <si>
    <t>Probable (4)</t>
  </si>
  <si>
    <t>Muy probable (5)</t>
  </si>
  <si>
    <t>- Resistencia del comerciante a instalar equipos en su local</t>
  </si>
  <si>
    <t>1: Muy improbable</t>
  </si>
  <si>
    <t>1: Insignificante</t>
  </si>
  <si>
    <t>Catastrófico (5)</t>
  </si>
  <si>
    <t>R7</t>
  </si>
  <si>
    <t>R1 - R4</t>
  </si>
  <si>
    <t>- Densidad efectiva del eje menor a la relevada</t>
  </si>
  <si>
    <t>2: No es probable</t>
  </si>
  <si>
    <t>2: Menor</t>
  </si>
  <si>
    <t>Importante (4)</t>
  </si>
  <si>
    <t>R10</t>
  </si>
  <si>
    <t>R5 - R6 - R9</t>
  </si>
  <si>
    <t>R2 - R3</t>
  </si>
  <si>
    <t>R2</t>
  </si>
  <si>
    <t>Rotación de comercios antes de amortizar el alta. El comercio se da de baja antes de que el abono acumulado recupere el costo del alta y del equipamiento instalado en su local.</t>
  </si>
  <si>
    <t>- Alta rotación propia del comercio minorista</t>
  </si>
  <si>
    <t>Una baja del Plan Vidriera antes del mes doce deja sin recuperar los USD 60 del alta más las tres horas de técnico y el reacondicionamiento del equipo retirado.</t>
  </si>
  <si>
    <t>Erosión de la base instalada, mayor esfuerzo comercial para sostener el mismo stock de clientes y deterioro de la comparación sectorial.</t>
  </si>
  <si>
    <t>3: Posible</t>
  </si>
  <si>
    <t>3: Moderado</t>
  </si>
  <si>
    <t>Moderado (3)</t>
  </si>
  <si>
    <t>R8</t>
  </si>
  <si>
    <t>- Bajo uso de la plataforma tras las primeras semanas</t>
  </si>
  <si>
    <t>4: Probable</t>
  </si>
  <si>
    <t>4: Importante</t>
  </si>
  <si>
    <t>Menor (2)</t>
  </si>
  <si>
    <t>- Estacionalidad del rubro indumentaria</t>
  </si>
  <si>
    <t>5: Muy probable</t>
  </si>
  <si>
    <t>5: Catastrófico</t>
  </si>
  <si>
    <t>Insignificante (1)</t>
  </si>
  <si>
    <t>R3</t>
  </si>
  <si>
    <t>Ruptura de un conector con un sistema de punto de venta. Uno de los siete sistemas de punto de venta integrados cambia o deprecia su API y el conector deja de funcionar.</t>
  </si>
  <si>
    <t>- Deprecación de la API por el proveedor del punto de venta</t>
  </si>
  <si>
    <t>Horas del Desarrollador destinadas a rehacer el conector en lugar de al roadmap, más el ingreso en riesgo de los comercios que operan con ese sistema.</t>
  </si>
  <si>
    <t>Incumplimiento del acuerdo de nivel de servicio y pérdida de confianza en un diferencial que es la principal barrera de entrada de la empresa.</t>
  </si>
  <si>
    <t>Bajo (1-6): Riesgos que probablemente no sucederán o que, si lo hacen, no tendrán consecuencias significativas.</t>
  </si>
  <si>
    <t>- Cambio de versión sin aviso previo</t>
  </si>
  <si>
    <t>Moderado (7-12): Riesgos que pueden causar contratiempos, pero son manejables con medidas adecuadas.</t>
  </si>
  <si>
    <t>- Consolidación o discontinuidad de un proveedor</t>
  </si>
  <si>
    <t>Alto (13-20): Riesgos que requieren atención inmediata y estrategias de mitigación rigurosas.</t>
  </si>
  <si>
    <t>R4</t>
  </si>
  <si>
    <t>Sostenibilidad financiera de los primeros 18 a 24 meses. El déficit acumulado hasta alcanzar el punto de equilibrio supera la capacidad de aporte de los socios y la inversión inicial prevista.</t>
  </si>
  <si>
    <t>- Ingresos de USD 20.863 en 2026 contra una estructura fija muy superior</t>
  </si>
  <si>
    <t>El resultado operativo se mantiene negativo durante los dos primeros ejercicios; el déficit acumulado debe cubrirse con capital propio o financiamiento.</t>
  </si>
  <si>
    <t>Dependencia del aporte de los socios, pérdida de autonomía en la toma de decisiones y presión para acelerar la captación por encima de lo que soporta la capacidad operativa.</t>
  </si>
  <si>
    <t>Crítico (21-25): Riesgos que pueden poner en peligro la viabilidad del proyecto y requieren acciones urgentes.</t>
  </si>
  <si>
    <t>- Incorporaciones de dotación anteriores al ingreso que las financia</t>
  </si>
  <si>
    <t>- Demora en la cobranza y morosidad de los primeros clientes</t>
  </si>
  <si>
    <t>R5</t>
  </si>
  <si>
    <t>Restricción a la importación de sensores y gateways. El equipamiento de conteo, de origen importado, no puede reponerse en tiempo o su costo se incrementa de manera significativa.</t>
  </si>
  <si>
    <t>- Cambios en el régimen de importaciones y licencias no automáticas</t>
  </si>
  <si>
    <t>Mayor costo del capital de trabajo por lote de reposición y altas del Plan Vidriera postergadas por falta de stock, con el ingreso recurrente diferido.</t>
  </si>
  <si>
    <t>Incumplimiento de las fechas de instalación comprometidas por el vendedor y deterioro de la experiencia inicial del cliente.</t>
  </si>
  <si>
    <t>- Demoras aduaneras en la nacionalización</t>
  </si>
  <si>
    <t>- Aumento del costo en origen o del flete</t>
  </si>
  <si>
    <t>R6</t>
  </si>
  <si>
    <t>Salto cambiario o inflación por encima de lo proyectado. La lista de precios está denominada en dólares pero se cobra en pesos con ajuste por índice, mientras los sueldos se pagan en pesos.</t>
  </si>
  <si>
    <t>- Volatilidad cambiaria y ampliación de la brecha</t>
  </si>
  <si>
    <t>Erosión del valor real del abono cobrado entre la facturación y la cobranza, y aumento de la masa salarial por encima del ingreso ajustado.</t>
  </si>
  <si>
    <t>Necesidad de renegociar precios con la base instalada, con riesgo de bajas, y pérdida de previsibilidad en la planificación.</t>
  </si>
  <si>
    <t>- Inflación superior a la proyección del REM</t>
  </si>
  <si>
    <t>- Rezago del índice de ajuste frente a la suba de costos</t>
  </si>
  <si>
    <t>Incidente de privacidad o pérdida de datos del comercio. Acceso indebido, filtración o pérdida de los datos de ventas y de conteo que los comercios confían a la plataforma.</t>
  </si>
  <si>
    <t>- Vulnerabilidad en la plataforma o en un conector</t>
  </si>
  <si>
    <t>Costos de recuperación, notificación y eventual sanción bajo la Ley 25.326, más el ingreso perdido por las bajas que el incidente provoque.</t>
  </si>
  <si>
    <t>Daño reputacional severo en un negocio cuya propuesta de valor se apoya en la privacidad por diseño; pérdida de la principal respuesta a la objeción del comerciante.</t>
  </si>
  <si>
    <t>- Error humano en la gestión de credenciales</t>
  </si>
  <si>
    <t>- Falla en la política de respaldos</t>
  </si>
  <si>
    <t>Pérdida, robo o rotura del equipamiento en comodato. Los sensores, contadores y gateways entregados en comodato no se recuperan o se recuperan sin posibilidad de reacondicionamiento.</t>
  </si>
  <si>
    <t>- Cierre abrupto del local sin devolución del equipo</t>
  </si>
  <si>
    <t>Reposición del equipamiento no recuperado, que se suma al capital de trabajo del período sin generar una nueva alta.</t>
  </si>
  <si>
    <t>Deterioro de la rotación del capital de trabajo, que es una de las condiciones que vuelven viable el modelo de abono bajo.</t>
  </si>
  <si>
    <t>- Robo o daño en el punto de instalación</t>
  </si>
  <si>
    <t>- Desgaste por encima de la vida útil estimada</t>
  </si>
  <si>
    <t>R9</t>
  </si>
  <si>
    <t>Dependencia de los dos socios fundadores. La conducción estratégica, técnica y comercial se concentra en dos personas que además ejecutan tareas operativas.</t>
  </si>
  <si>
    <t>- Ausencia prolongada o desvinculación de un socio</t>
  </si>
  <si>
    <t>Detención del desarrollo o de la conducción comercial, con impacto directo sobre el ritmo de altas y sobre el mantenimiento de los conectores.</t>
  </si>
  <si>
    <t>Vulnerabilidad estructural de la organización y dificultad para incorporar inversores que evalúan la continuidad del equipo.</t>
  </si>
  <si>
    <t>- Concentración del conocimiento técnico sin documentar</t>
  </si>
  <si>
    <t>- Sobrecarga por acumulación de funciones</t>
  </si>
  <si>
    <t>Entrada de un competidor local con precio agresivo. Un competidor local replica la propuesta con un abono menor, apoyado en los mismos dispositivos de conteo disponibles en el mercado.</t>
  </si>
  <si>
    <t>- Baja barrera de entrada en la capa de hardware</t>
  </si>
  <si>
    <t>Presión a la baja sobre el abono y aumento del costo de adquisición por comercio en los ejes disputados.</t>
  </si>
  <si>
    <t>Pérdida de la ventaja de ser el primero en el corredor y erosión del margen que sostiene la estructura.</t>
  </si>
  <si>
    <t>- Imitación del modelo comercial una vez validado</t>
  </si>
  <si>
    <t>- Estrategia de precio por debajo del costo para ganar participación</t>
  </si>
  <si>
    <t>Cuadro de evaluación de riesgos</t>
  </si>
  <si>
    <t>Email: javieralejandro.gomezavellaneda@alumnos.uai.edu.ar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</si>
</sst>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quot;$&quot;\ #,##0.00;[Red]\-&quot;$&quot;\ #,##0.00"/>
    <numFmt numFmtId="164" formatCode="_-* #,##0\ _€_-;\-* #,##0\ _€_-;_-* &quot;-&quot;??\ _€_-;_-@"/>
    <numFmt numFmtId="165" formatCode="_-&quot;$&quot;\ * #,##0.00_-;\-&quot;$&quot;\ * #,##0.00_-;_-&quot;$&quot;\ * &quot;-&quot;??_-;_-@"/>
    <numFmt numFmtId="166" formatCode="_ [$$-2C0A]\ * #,##0.00_ ;_ [$$-2C0A]\ * \-#,##0.00_ ;_ [$$-2C0A]\ * &quot;-&quot;??_ ;_ @_ "/>
    <numFmt numFmtId="167" formatCode="&quot;$&quot;\ #,##0.00"/>
    <numFmt numFmtId="168" formatCode="_-* #,##0.00\ _€_-;\-* #,##0.00\ _€_-;_-* &quot;-&quot;??\ _€_-;_-@"/>
    <numFmt numFmtId="169" formatCode="#,##0_ ;\-#,##0\ "/>
    <numFmt numFmtId="170" formatCode="&quot;$&quot;#,##0.00"/>
    <numFmt numFmtId="171" formatCode="&quot;$&quot;#,##0;[Red]\-&quot;$&quot;#,##0"/>
    <numFmt numFmtId="172" formatCode="0.0000%"/>
    <numFmt numFmtId="173" formatCode="0.0%"/>
    <numFmt numFmtId="174" formatCode="&quot;$&quot;#,##0"/>
    <numFmt numFmtId="175" formatCode="_(&quot;$&quot;* #,##0.00_);_(&quot;$&quot;* \(#,##0.00\);_(&quot;$&quot;* &quot;-&quot;??_);_(@_)"/>
    <numFmt numFmtId="176" formatCode="0.000000"/>
    <numFmt numFmtId="177" formatCode="0.0000"/>
  </numFmts>
  <fonts count="41">
    <font>
      <sz val="11"/>
      <color theme="1"/>
      <name val="Arial"/>
      <scheme val="minor"/>
    </font>
    <font>
      <sz val="11"/>
      <color theme="1"/>
      <name val="Calibri"/>
    </font>
    <font>
      <b/>
      <sz val="22"/>
      <color theme="1"/>
      <name val="Calibri"/>
    </font>
    <font>
      <b/>
      <sz val="14"/>
      <color theme="1"/>
      <name val="Arial"/>
    </font>
    <font>
      <b/>
      <sz val="16"/>
      <color theme="1"/>
      <name val="Calibri"/>
    </font>
    <font>
      <u/>
      <sz val="14"/>
      <color theme="1"/>
      <name val="Calibri"/>
    </font>
    <font>
      <u/>
      <sz val="14"/>
      <color theme="1"/>
      <name val="Calibri"/>
    </font>
    <font>
      <u/>
      <sz val="14"/>
      <color theme="1"/>
      <name val="Calibri"/>
    </font>
    <font>
      <b/>
      <sz val="36"/>
      <color theme="1"/>
      <name val="Calibri"/>
    </font>
    <font>
      <b/>
      <sz val="48"/>
      <color theme="1"/>
      <name val="Calibri"/>
    </font>
    <font>
      <b/>
      <sz val="20"/>
      <color theme="1"/>
      <name val="Calibri"/>
    </font>
    <font>
      <sz val="11"/>
      <color rgb="FF404040"/>
      <name val="Calibri"/>
    </font>
    <font>
      <sz val="14"/>
      <color theme="1"/>
      <name val="Calibri"/>
    </font>
    <font>
      <b/>
      <sz val="12"/>
      <color theme="1"/>
      <name val="Calibri"/>
    </font>
    <font>
      <b/>
      <sz val="14"/>
      <color theme="1"/>
      <name val="Calibri"/>
    </font>
    <font>
      <sz val="12"/>
      <color theme="1"/>
      <name val="Calibri"/>
    </font>
    <font>
      <b/>
      <sz val="12"/>
      <color theme="1"/>
      <name val="Arial"/>
    </font>
    <font>
      <b/>
      <sz val="48"/>
      <color theme="0"/>
      <name val="Calibri"/>
    </font>
    <font>
      <b/>
      <sz val="11"/>
      <color theme="1"/>
      <name val="Calibri"/>
    </font>
    <font>
      <u/>
      <sz val="12"/>
      <color theme="1"/>
      <name val="Calibri"/>
    </font>
    <font>
      <b/>
      <sz val="11"/>
      <color rgb="FF000000"/>
      <name val="Calibri"/>
    </font>
    <font>
      <b/>
      <sz val="36"/>
      <color theme="0"/>
      <name val="Calibri"/>
    </font>
    <font>
      <u/>
      <sz val="11"/>
      <color theme="10"/>
      <name val="Calibri"/>
    </font>
    <font>
      <u/>
      <sz val="11"/>
      <color theme="10"/>
      <name val="Calibri"/>
    </font>
    <font>
      <sz val="11"/>
      <color rgb="FF000000"/>
      <name val="Calibri"/>
    </font>
    <font>
      <sz val="18"/>
      <color theme="1"/>
      <name val="Var(--font-fk-grotesk)"/>
    </font>
    <font>
      <b/>
      <sz val="11"/>
      <color theme="1"/>
      <name val="Quattrocento Sans"/>
    </font>
    <font>
      <sz val="11"/>
      <color theme="1"/>
      <name val="Quattrocento Sans"/>
    </font>
    <font>
      <sz val="13"/>
      <color theme="1"/>
      <name val="Times New Roman"/>
    </font>
    <font>
      <sz val="9"/>
      <color theme="1"/>
      <name val="Quattrocento Sans"/>
    </font>
    <font>
      <sz val="10"/>
      <color theme="1"/>
      <name val="Quattrocento Sans"/>
    </font>
    <font>
      <sz val="11"/>
      <color theme="1"/>
      <name val="Arial"/>
    </font>
    <font>
      <sz val="14"/>
      <color theme="1"/>
      <name val="Arial"/>
    </font>
    <font>
      <sz val="11"/>
      <color theme="1"/>
      <name val="Quattrocento Sans"/>
    </font>
    <font>
      <b/>
      <sz val="36"/>
      <name val="Calibri"/>
    </font>
    <font>
      <b/>
      <sz val="20"/>
      <name val="Calibri"/>
    </font>
    <font>
      <b/>
      <sz val="12"/>
      <name val="Calibri"/>
    </font>
    <font>
      <b/>
      <sz val="11"/>
      <name val="Calibri"/>
    </font>
    <font>
      <b/>
      <sz val="14"/>
      <name val="Calibri"/>
    </font>
    <font>
      <sz val="11"/>
      <name val="Calibri"/>
    </font>
    <font>
      <sz val="11"/>
      <color theme="1"/>
      <name val="Arial"/>
      <scheme val="minor"/>
    </font>
  </fonts>
  <fills count="41">
    <fill>
      <patternFill patternType="none"/>
    </fill>
    <fill>
      <patternFill patternType="gray125"/>
    </fill>
    <fill>
      <patternFill patternType="solid">
        <fgColor theme="0"/>
        <bgColor theme="0"/>
      </patternFill>
    </fill>
    <fill>
      <patternFill patternType="solid">
        <fgColor rgb="FFFFC000"/>
        <bgColor rgb="FFFFC000"/>
      </patternFill>
    </fill>
    <fill>
      <patternFill patternType="solid">
        <fgColor rgb="FFC5E0B3"/>
        <bgColor rgb="FFC5E0B3"/>
      </patternFill>
    </fill>
    <fill>
      <patternFill patternType="solid">
        <fgColor rgb="FFE2EFD9"/>
        <bgColor rgb="FFE2EFD9"/>
      </patternFill>
    </fill>
    <fill>
      <patternFill patternType="solid">
        <fgColor rgb="FFA8D08D"/>
        <bgColor rgb="FFA8D08D"/>
      </patternFill>
    </fill>
    <fill>
      <patternFill patternType="solid">
        <fgColor rgb="FFD9E2F3"/>
        <bgColor rgb="FFD9E2F3"/>
      </patternFill>
    </fill>
    <fill>
      <patternFill patternType="solid">
        <fgColor rgb="FFFBE4D5"/>
        <bgColor rgb="FFFBE4D5"/>
      </patternFill>
    </fill>
    <fill>
      <patternFill patternType="solid">
        <fgColor rgb="FFECECEC"/>
        <bgColor rgb="FFECECEC"/>
      </patternFill>
    </fill>
    <fill>
      <patternFill patternType="solid">
        <fgColor rgb="FFFEF2CB"/>
        <bgColor rgb="FFFEF2CB"/>
      </patternFill>
    </fill>
    <fill>
      <patternFill patternType="solid">
        <fgColor rgb="FF00B0F0"/>
        <bgColor rgb="FF00B0F0"/>
      </patternFill>
    </fill>
    <fill>
      <patternFill patternType="solid">
        <fgColor rgb="FFFFFF00"/>
        <bgColor rgb="FFFFFF00"/>
      </patternFill>
    </fill>
    <fill>
      <patternFill patternType="solid">
        <fgColor theme="1"/>
        <bgColor theme="1"/>
      </patternFill>
    </fill>
    <fill>
      <patternFill patternType="solid">
        <fgColor rgb="FFFF9900"/>
        <bgColor rgb="FFFF9900"/>
      </patternFill>
    </fill>
    <fill>
      <patternFill patternType="solid">
        <fgColor rgb="FFF4CCCC"/>
        <bgColor rgb="FFF4CCCC"/>
      </patternFill>
    </fill>
    <fill>
      <patternFill patternType="solid">
        <fgColor rgb="FFFCE5CD"/>
        <bgColor rgb="FFFCE5CD"/>
      </patternFill>
    </fill>
    <fill>
      <patternFill patternType="solid">
        <fgColor rgb="FFDEEAF6"/>
        <bgColor rgb="FFDEEAF6"/>
      </patternFill>
    </fill>
    <fill>
      <patternFill patternType="solid">
        <fgColor rgb="FFFFFFFF"/>
        <bgColor rgb="FFFFFFFF"/>
      </patternFill>
    </fill>
    <fill>
      <patternFill patternType="solid">
        <fgColor rgb="FFFFF2CC"/>
        <bgColor rgb="FFFFF2CC"/>
      </patternFill>
    </fill>
    <fill>
      <patternFill patternType="solid">
        <fgColor theme="6"/>
        <bgColor theme="6"/>
      </patternFill>
    </fill>
    <fill>
      <patternFill patternType="solid">
        <fgColor rgb="FFCCCCCC"/>
        <bgColor rgb="FFCCCCCC"/>
      </patternFill>
    </fill>
    <fill>
      <patternFill patternType="solid">
        <fgColor rgb="FFC9DAF8"/>
        <bgColor rgb="FFC9DAF8"/>
      </patternFill>
    </fill>
    <fill>
      <patternFill patternType="solid">
        <fgColor rgb="FFF4B083"/>
        <bgColor rgb="FFF4B083"/>
      </patternFill>
    </fill>
    <fill>
      <patternFill patternType="solid">
        <fgColor rgb="FFFABF8F"/>
        <bgColor rgb="FFFABF8F"/>
      </patternFill>
    </fill>
    <fill>
      <patternFill patternType="solid">
        <fgColor rgb="FF92D050"/>
        <bgColor rgb="FF92D050"/>
      </patternFill>
    </fill>
    <fill>
      <patternFill patternType="solid">
        <fgColor rgb="FFFF0000"/>
        <bgColor rgb="FFFF0000"/>
      </patternFill>
    </fill>
    <fill>
      <patternFill patternType="solid">
        <fgColor rgb="FFB6DDE8"/>
        <bgColor rgb="FFB6DDE8"/>
      </patternFill>
    </fill>
    <fill>
      <patternFill patternType="solid">
        <fgColor rgb="FFFFC000"/>
      </patternFill>
    </fill>
    <fill>
      <patternFill patternType="solid">
        <fgColor rgb="FFC5E0B3"/>
      </patternFill>
    </fill>
    <fill>
      <patternFill patternType="solid">
        <fgColor rgb="FFD9E2F3"/>
      </patternFill>
    </fill>
    <fill>
      <patternFill patternType="solid">
        <fgColor rgb="FFE2EFD9"/>
      </patternFill>
    </fill>
    <fill>
      <patternFill patternType="solid">
        <fgColor rgb="FFF8CBAD"/>
      </patternFill>
    </fill>
    <fill>
      <patternFill patternType="solid">
        <fgColor rgb="FFFFEB9C"/>
      </patternFill>
    </fill>
    <fill>
      <patternFill patternType="solid">
        <fgColor rgb="FFC6EFCE"/>
      </patternFill>
    </fill>
    <fill>
      <patternFill patternType="solid">
        <fgColor rgb="FFFFC7CE"/>
      </patternFill>
    </fill>
    <fill>
      <patternFill patternType="solid">
        <fgColor rgb="FFFFF2CC"/>
      </patternFill>
    </fill>
    <fill>
      <patternFill patternType="solid">
        <fgColor rgb="FFF2F2F2"/>
      </patternFill>
    </fill>
    <fill>
      <patternFill patternType="solid">
        <fgColor rgb="FFE2EFD9"/>
      </patternFill>
    </fill>
    <fill>
      <patternFill patternType="solid">
        <fgColor rgb="FFFBE4D5"/>
      </patternFill>
    </fill>
    <fill>
      <patternFill patternType="solid">
        <fgColor rgb="FFEA9999"/>
        <bgColor rgb="FFEA9999"/>
      </patternFill>
    </fill>
  </fills>
  <borders count="155">
    <border>
      <left/>
      <right/>
      <top/>
      <bottom/>
      <diagonal/>
    </border>
    <border>
      <left/>
      <right/>
      <top/>
      <bottom/>
      <diagonal/>
    </border>
    <border>
      <left style="medium">
        <color theme="9"/>
      </left>
      <right style="medium">
        <color theme="9"/>
      </right>
      <top style="medium">
        <color theme="9"/>
      </top>
      <bottom style="medium">
        <color theme="9"/>
      </bottom>
      <diagonal/>
    </border>
    <border>
      <left style="medium">
        <color theme="9"/>
      </left>
      <right style="medium">
        <color theme="9"/>
      </right>
      <top style="medium">
        <color theme="9"/>
      </top>
      <bottom/>
      <diagonal/>
    </border>
    <border>
      <left style="medium">
        <color theme="9"/>
      </left>
      <right style="medium">
        <color theme="9"/>
      </right>
      <top/>
      <bottom/>
      <diagonal/>
    </border>
    <border>
      <left style="medium">
        <color theme="9"/>
      </left>
      <right style="medium">
        <color theme="9"/>
      </right>
      <top/>
      <bottom style="medium">
        <color theme="9"/>
      </bottom>
      <diagonal/>
    </border>
    <border>
      <left/>
      <right/>
      <top/>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thin">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right style="medium">
        <color rgb="FF000000"/>
      </right>
      <top style="thin">
        <color rgb="FF000000"/>
      </top>
      <bottom/>
      <diagonal/>
    </border>
    <border>
      <left/>
      <right style="thin">
        <color rgb="FF000000"/>
      </right>
      <top style="thin">
        <color rgb="FF000000"/>
      </top>
      <bottom/>
      <diagonal/>
    </border>
    <border>
      <left/>
      <right style="thin">
        <color rgb="FF000000"/>
      </right>
      <top style="medium">
        <color rgb="FF000000"/>
      </top>
      <bottom style="thin">
        <color rgb="FF000000"/>
      </bottom>
      <diagonal/>
    </border>
    <border>
      <left/>
      <right style="medium">
        <color rgb="FF000000"/>
      </right>
      <top/>
      <bottom style="thin">
        <color rgb="FF000000"/>
      </bottom>
      <diagonal/>
    </border>
    <border>
      <left/>
      <right style="thin">
        <color rgb="FF000000"/>
      </right>
      <top style="thin">
        <color rgb="FF000000"/>
      </top>
      <bottom style="medium">
        <color rgb="FF000000"/>
      </bottom>
      <diagonal/>
    </border>
    <border>
      <left/>
      <right/>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bottom/>
      <diagonal/>
    </border>
    <border>
      <left style="thin">
        <color rgb="FF000000"/>
      </left>
      <right/>
      <top/>
      <bottom/>
      <diagonal/>
    </border>
    <border>
      <left style="thin">
        <color rgb="FF000000"/>
      </left>
      <right style="medium">
        <color rgb="FF000000"/>
      </right>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style="thin">
        <color rgb="FF000000"/>
      </right>
      <top/>
      <bottom/>
      <diagonal/>
    </border>
    <border>
      <left/>
      <right style="medium">
        <color rgb="FF000000"/>
      </right>
      <top/>
      <bottom/>
      <diagonal/>
    </border>
    <border>
      <left style="medium">
        <color rgb="FF000000"/>
      </left>
      <right style="medium">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style="medium">
        <color rgb="FF000000"/>
      </left>
      <right style="thin">
        <color rgb="FF000000"/>
      </right>
      <top/>
      <bottom/>
      <diagonal/>
    </border>
    <border>
      <left style="medium">
        <color rgb="FF000000"/>
      </left>
      <right style="medium">
        <color rgb="FF000000"/>
      </right>
      <top/>
      <bottom style="thin">
        <color rgb="FF000000"/>
      </bottom>
      <diagonal/>
    </border>
    <border>
      <left/>
      <right/>
      <top/>
      <bottom style="medium">
        <color rgb="FF000000"/>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bottom/>
      <diagonal/>
    </border>
    <border>
      <left/>
      <right/>
      <top style="thick">
        <color rgb="FF000000"/>
      </top>
      <bottom/>
      <diagonal/>
    </border>
    <border>
      <left/>
      <right style="thick">
        <color rgb="FF000000"/>
      </right>
      <top style="thick">
        <color rgb="FF000000"/>
      </top>
      <bottom/>
      <diagonal/>
    </border>
    <border>
      <left style="thin">
        <color rgb="FF000000"/>
      </left>
      <right style="thick">
        <color rgb="FF000000"/>
      </right>
      <top style="medium">
        <color rgb="FF000000"/>
      </top>
      <bottom/>
      <diagonal/>
    </border>
    <border>
      <left style="thin">
        <color rgb="FF000000"/>
      </left>
      <right style="thick">
        <color rgb="FF000000"/>
      </right>
      <top style="medium">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medium">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top/>
      <bottom style="thin">
        <color rgb="FF000000"/>
      </bottom>
      <diagonal/>
    </border>
    <border>
      <left style="thick">
        <color rgb="FF000000"/>
      </left>
      <right style="thin">
        <color rgb="FF000000"/>
      </right>
      <top style="thin">
        <color rgb="FF000000"/>
      </top>
      <bottom style="medium">
        <color rgb="FF000000"/>
      </bottom>
      <diagonal/>
    </border>
    <border>
      <left style="thick">
        <color rgb="FF000000"/>
      </left>
      <right style="thin">
        <color rgb="FF000000"/>
      </right>
      <top style="thin">
        <color rgb="FF000000"/>
      </top>
      <bottom style="thick">
        <color rgb="FF000000"/>
      </bottom>
      <diagonal/>
    </border>
    <border>
      <left style="thick">
        <color rgb="FF000000"/>
      </left>
      <right style="thin">
        <color rgb="FF000000"/>
      </right>
      <top style="medium">
        <color rgb="FF000000"/>
      </top>
      <bottom/>
      <diagonal/>
    </border>
    <border>
      <left style="thick">
        <color rgb="FF000000"/>
      </left>
      <right style="thin">
        <color rgb="FF000000"/>
      </right>
      <top style="medium">
        <color rgb="FF000000"/>
      </top>
      <bottom style="thin">
        <color rgb="FF000000"/>
      </bottom>
      <diagonal/>
    </border>
    <border>
      <left style="thick">
        <color rgb="FF000000"/>
      </left>
      <right style="thick">
        <color rgb="FF000000"/>
      </right>
      <top style="thick">
        <color rgb="FF000000"/>
      </top>
      <bottom/>
      <diagonal/>
    </border>
    <border>
      <left style="thick">
        <color rgb="FF000000"/>
      </left>
      <right style="thin">
        <color rgb="FF000000"/>
      </right>
      <top/>
      <bottom style="thick">
        <color rgb="FF000000"/>
      </bottom>
      <diagonal/>
    </border>
  </borders>
  <cellStyleXfs count="1">
    <xf numFmtId="0" fontId="0" fillId="0" borderId="134"/>
  </cellStyleXfs>
  <cellXfs count="818">
    <xf numFmtId="0" fontId="0" fillId="0" borderId="0" xfId="0" applyBorder="1"/>
    <xf numFmtId="0" fontId="1" fillId="2" borderId="1" xfId="0" applyFont="1" applyFill="1" applyBorder="1"/>
    <xf numFmtId="0" fontId="2" fillId="2" borderId="1" xfId="0" applyFont="1" applyFill="1" applyBorder="1"/>
    <xf numFmtId="0" fontId="3" fillId="2" borderId="1" xfId="0" applyFont="1" applyFill="1" applyBorder="1" applyAlignment="1">
      <alignment horizontal="left" vertical="center"/>
    </xf>
    <xf numFmtId="0" fontId="4" fillId="0" borderId="2" xfId="0" applyFont="1" applyBorder="1" applyAlignment="1">
      <alignment horizontal="center"/>
    </xf>
    <xf numFmtId="0" fontId="5" fillId="0" borderId="3" xfId="0" applyFont="1" applyBorder="1" applyAlignment="1">
      <alignment horizontal="center"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1" fillId="3" borderId="1" xfId="0" applyFont="1" applyFill="1" applyBorder="1"/>
    <xf numFmtId="0" fontId="8"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1" fillId="2" borderId="6" xfId="0" applyFont="1" applyFill="1" applyBorder="1"/>
    <xf numFmtId="0" fontId="1" fillId="2" borderId="8" xfId="0" applyFont="1" applyFill="1" applyBorder="1" applyAlignment="1">
      <alignment vertical="center" wrapText="1"/>
    </xf>
    <xf numFmtId="0" fontId="1" fillId="2" borderId="9" xfId="0" applyFont="1" applyFill="1" applyBorder="1"/>
    <xf numFmtId="0" fontId="12" fillId="2" borderId="1" xfId="0" applyFont="1" applyFill="1" applyBorder="1" applyAlignment="1">
      <alignment horizontal="left" vertical="top" wrapText="1"/>
    </xf>
    <xf numFmtId="0" fontId="13" fillId="5" borderId="10" xfId="0" applyFont="1" applyFill="1" applyBorder="1" applyAlignment="1">
      <alignment horizontal="center" vertical="center" wrapText="1"/>
    </xf>
    <xf numFmtId="164" fontId="12" fillId="2" borderId="10" xfId="0" applyNumberFormat="1" applyFont="1" applyFill="1" applyBorder="1" applyAlignment="1">
      <alignment horizontal="left" vertical="top" wrapText="1"/>
    </xf>
    <xf numFmtId="165" fontId="14" fillId="4" borderId="10" xfId="0" applyNumberFormat="1" applyFont="1" applyFill="1" applyBorder="1" applyAlignment="1">
      <alignment horizontal="left" vertical="top" wrapText="1"/>
    </xf>
    <xf numFmtId="0" fontId="15" fillId="2" borderId="1" xfId="0" applyFont="1" applyFill="1" applyBorder="1" applyAlignment="1">
      <alignment horizontal="left" vertical="top" wrapText="1"/>
    </xf>
    <xf numFmtId="0" fontId="14" fillId="5" borderId="10" xfId="0" applyFont="1" applyFill="1" applyBorder="1" applyAlignment="1">
      <alignment horizontal="left" vertical="top" wrapText="1"/>
    </xf>
    <xf numFmtId="0" fontId="15" fillId="2" borderId="10" xfId="0" applyFont="1" applyFill="1" applyBorder="1" applyAlignment="1">
      <alignment horizontal="left" vertical="top" wrapText="1"/>
    </xf>
    <xf numFmtId="165" fontId="15" fillId="2" borderId="10" xfId="0" applyNumberFormat="1" applyFont="1" applyFill="1" applyBorder="1" applyAlignment="1">
      <alignment horizontal="left" vertical="top" wrapText="1"/>
    </xf>
    <xf numFmtId="9" fontId="15" fillId="2" borderId="10" xfId="0" applyNumberFormat="1" applyFont="1" applyFill="1" applyBorder="1" applyAlignment="1">
      <alignment horizontal="left" vertical="top" wrapText="1"/>
    </xf>
    <xf numFmtId="9" fontId="15" fillId="2" borderId="1" xfId="0" applyNumberFormat="1" applyFont="1" applyFill="1" applyBorder="1" applyAlignment="1">
      <alignment horizontal="left" vertical="top" wrapText="1"/>
    </xf>
    <xf numFmtId="165" fontId="15" fillId="2" borderId="1" xfId="0" applyNumberFormat="1" applyFont="1" applyFill="1" applyBorder="1" applyAlignment="1">
      <alignment horizontal="left" vertical="top" wrapText="1"/>
    </xf>
    <xf numFmtId="0" fontId="10" fillId="2" borderId="1" xfId="0" applyFont="1" applyFill="1" applyBorder="1" applyAlignment="1">
      <alignment horizontal="left"/>
    </xf>
    <xf numFmtId="0" fontId="16" fillId="2" borderId="1" xfId="0" applyFont="1" applyFill="1" applyBorder="1" applyAlignment="1">
      <alignment vertical="center" textRotation="90" wrapText="1"/>
    </xf>
    <xf numFmtId="0" fontId="16" fillId="4" borderId="16" xfId="0" applyFont="1" applyFill="1" applyBorder="1" applyAlignment="1">
      <alignment horizontal="center" vertical="center" wrapText="1"/>
    </xf>
    <xf numFmtId="0" fontId="16" fillId="4" borderId="17" xfId="0" applyFont="1" applyFill="1" applyBorder="1" applyAlignment="1">
      <alignment horizontal="center" vertical="center" wrapText="1"/>
    </xf>
    <xf numFmtId="0" fontId="13" fillId="5" borderId="20" xfId="0" applyFont="1" applyFill="1" applyBorder="1" applyAlignment="1">
      <alignment horizontal="center"/>
    </xf>
    <xf numFmtId="0" fontId="13" fillId="5" borderId="21" xfId="0" applyFont="1" applyFill="1" applyBorder="1" applyAlignment="1">
      <alignment horizontal="center"/>
    </xf>
    <xf numFmtId="0" fontId="13" fillId="5" borderId="22" xfId="0" applyFont="1" applyFill="1" applyBorder="1" applyAlignment="1">
      <alignment horizontal="center"/>
    </xf>
    <xf numFmtId="0" fontId="13" fillId="8" borderId="28" xfId="0" applyFont="1" applyFill="1" applyBorder="1"/>
    <xf numFmtId="166" fontId="13" fillId="8" borderId="29" xfId="0" applyNumberFormat="1" applyFont="1" applyFill="1" applyBorder="1"/>
    <xf numFmtId="0" fontId="1" fillId="8" borderId="30" xfId="0" applyFont="1" applyFill="1" applyBorder="1"/>
    <xf numFmtId="0" fontId="13" fillId="9" borderId="23" xfId="0" applyFont="1" applyFill="1" applyBorder="1"/>
    <xf numFmtId="166" fontId="13" fillId="9" borderId="24" xfId="0" applyNumberFormat="1" applyFont="1" applyFill="1" applyBorder="1"/>
    <xf numFmtId="0" fontId="1" fillId="9" borderId="25" xfId="0" applyFont="1" applyFill="1" applyBorder="1"/>
    <xf numFmtId="0" fontId="13" fillId="9" borderId="26" xfId="0" applyFont="1" applyFill="1" applyBorder="1"/>
    <xf numFmtId="166" fontId="13" fillId="9" borderId="10" xfId="0" applyNumberFormat="1" applyFont="1" applyFill="1" applyBorder="1"/>
    <xf numFmtId="0" fontId="1" fillId="9" borderId="27" xfId="0" applyFont="1" applyFill="1" applyBorder="1"/>
    <xf numFmtId="0" fontId="13" fillId="9" borderId="28" xfId="0" applyFont="1" applyFill="1" applyBorder="1" applyAlignment="1">
      <alignment vertical="center" wrapText="1"/>
    </xf>
    <xf numFmtId="166" fontId="13" fillId="9" borderId="29" xfId="0" applyNumberFormat="1" applyFont="1" applyFill="1" applyBorder="1" applyAlignment="1">
      <alignment vertical="center"/>
    </xf>
    <xf numFmtId="0" fontId="1" fillId="9" borderId="30" xfId="0" applyFont="1" applyFill="1" applyBorder="1" applyAlignment="1">
      <alignment wrapText="1"/>
    </xf>
    <xf numFmtId="0" fontId="13" fillId="10" borderId="31" xfId="0" applyFont="1" applyFill="1" applyBorder="1" applyAlignment="1">
      <alignment vertical="center" wrapText="1"/>
    </xf>
    <xf numFmtId="166" fontId="13" fillId="10" borderId="32" xfId="0" applyNumberFormat="1" applyFont="1" applyFill="1" applyBorder="1"/>
    <xf numFmtId="0" fontId="1" fillId="10" borderId="33" xfId="0" applyFont="1" applyFill="1" applyBorder="1"/>
    <xf numFmtId="0" fontId="1" fillId="11" borderId="1" xfId="0" applyFont="1" applyFill="1" applyBorder="1"/>
    <xf numFmtId="0" fontId="8" fillId="11" borderId="1" xfId="0" applyFont="1" applyFill="1" applyBorder="1" applyAlignment="1">
      <alignment vertical="center"/>
    </xf>
    <xf numFmtId="0" fontId="17" fillId="11" borderId="1" xfId="0" applyFont="1" applyFill="1" applyBorder="1" applyAlignment="1">
      <alignment vertical="center"/>
    </xf>
    <xf numFmtId="0" fontId="1" fillId="2" borderId="1" xfId="0" applyFont="1" applyFill="1" applyBorder="1" applyAlignment="1">
      <alignment horizontal="center"/>
    </xf>
    <xf numFmtId="0" fontId="18" fillId="5" borderId="26" xfId="0" applyFont="1" applyFill="1" applyBorder="1" applyAlignment="1">
      <alignment horizontal="center"/>
    </xf>
    <xf numFmtId="0" fontId="18" fillId="5" borderId="10" xfId="0" applyFont="1" applyFill="1" applyBorder="1" applyAlignment="1">
      <alignment horizontal="center"/>
    </xf>
    <xf numFmtId="0" fontId="18" fillId="5" borderId="27" xfId="0" applyFont="1" applyFill="1" applyBorder="1" applyAlignment="1">
      <alignment horizontal="center"/>
    </xf>
    <xf numFmtId="0" fontId="1" fillId="2" borderId="1" xfId="0" applyFont="1" applyFill="1" applyBorder="1" applyAlignment="1">
      <alignment horizontal="left" vertical="top" wrapText="1"/>
    </xf>
    <xf numFmtId="9" fontId="1" fillId="2" borderId="26" xfId="0" applyNumberFormat="1" applyFont="1" applyFill="1" applyBorder="1" applyAlignment="1">
      <alignment horizontal="center"/>
    </xf>
    <xf numFmtId="9" fontId="1" fillId="2" borderId="10" xfId="0" applyNumberFormat="1" applyFont="1" applyFill="1" applyBorder="1" applyAlignment="1">
      <alignment horizontal="center"/>
    </xf>
    <xf numFmtId="9" fontId="1" fillId="2" borderId="27" xfId="0" applyNumberFormat="1" applyFont="1" applyFill="1" applyBorder="1" applyAlignment="1">
      <alignment horizontal="center"/>
    </xf>
    <xf numFmtId="167" fontId="1" fillId="2" borderId="28" xfId="0" applyNumberFormat="1" applyFont="1" applyFill="1" applyBorder="1" applyAlignment="1">
      <alignment horizontal="center"/>
    </xf>
    <xf numFmtId="167" fontId="1" fillId="2" borderId="29" xfId="0" applyNumberFormat="1" applyFont="1" applyFill="1" applyBorder="1" applyAlignment="1">
      <alignment horizontal="center"/>
    </xf>
    <xf numFmtId="167" fontId="1" fillId="2" borderId="30" xfId="0" applyNumberFormat="1" applyFont="1" applyFill="1" applyBorder="1" applyAlignment="1">
      <alignment horizontal="center"/>
    </xf>
    <xf numFmtId="0" fontId="19" fillId="0" borderId="0" xfId="0" applyFont="1" applyBorder="1" applyAlignment="1">
      <alignment horizontal="left"/>
    </xf>
    <xf numFmtId="0" fontId="12" fillId="2" borderId="1" xfId="0" applyFont="1" applyFill="1" applyBorder="1"/>
    <xf numFmtId="0" fontId="18" fillId="5" borderId="35" xfId="0" applyFont="1" applyFill="1" applyBorder="1" applyAlignment="1">
      <alignment horizontal="center" vertical="center" wrapText="1"/>
    </xf>
    <xf numFmtId="0" fontId="18" fillId="5" borderId="36" xfId="0" applyFont="1" applyFill="1" applyBorder="1" applyAlignment="1">
      <alignment horizontal="center" vertical="center" wrapText="1"/>
    </xf>
    <xf numFmtId="0" fontId="18" fillId="5" borderId="38" xfId="0" applyFont="1" applyFill="1" applyBorder="1" applyAlignment="1">
      <alignment horizontal="center" vertical="center" wrapText="1"/>
    </xf>
    <xf numFmtId="0" fontId="18" fillId="5" borderId="39" xfId="0" applyFont="1" applyFill="1" applyBorder="1" applyAlignment="1">
      <alignment horizontal="center" vertical="center" wrapText="1"/>
    </xf>
    <xf numFmtId="168" fontId="15" fillId="7" borderId="23" xfId="0" applyNumberFormat="1" applyFont="1" applyFill="1" applyBorder="1"/>
    <xf numFmtId="165" fontId="1" fillId="7" borderId="40" xfId="0" applyNumberFormat="1" applyFont="1" applyFill="1" applyBorder="1"/>
    <xf numFmtId="164" fontId="1" fillId="7" borderId="23" xfId="0" applyNumberFormat="1" applyFont="1" applyFill="1" applyBorder="1"/>
    <xf numFmtId="165" fontId="1" fillId="7" borderId="41" xfId="0" applyNumberFormat="1" applyFont="1" applyFill="1" applyBorder="1"/>
    <xf numFmtId="164" fontId="1" fillId="7" borderId="42" xfId="0" applyNumberFormat="1" applyFont="1" applyFill="1" applyBorder="1"/>
    <xf numFmtId="165" fontId="1" fillId="7" borderId="43" xfId="0" applyNumberFormat="1" applyFont="1" applyFill="1" applyBorder="1"/>
    <xf numFmtId="165" fontId="1" fillId="7" borderId="11" xfId="0" applyNumberFormat="1" applyFont="1" applyFill="1" applyBorder="1"/>
    <xf numFmtId="164" fontId="1" fillId="7" borderId="26" xfId="0" applyNumberFormat="1" applyFont="1" applyFill="1" applyBorder="1"/>
    <xf numFmtId="165" fontId="1" fillId="7" borderId="12" xfId="0" applyNumberFormat="1" applyFont="1" applyFill="1" applyBorder="1"/>
    <xf numFmtId="165" fontId="1" fillId="7" borderId="27" xfId="0" applyNumberFormat="1" applyFont="1" applyFill="1" applyBorder="1"/>
    <xf numFmtId="165" fontId="1" fillId="7" borderId="44" xfId="0" applyNumberFormat="1" applyFont="1" applyFill="1" applyBorder="1"/>
    <xf numFmtId="164" fontId="1" fillId="7" borderId="28" xfId="0" applyNumberFormat="1" applyFont="1" applyFill="1" applyBorder="1"/>
    <xf numFmtId="164" fontId="1" fillId="7" borderId="35" xfId="0" applyNumberFormat="1" applyFont="1" applyFill="1" applyBorder="1"/>
    <xf numFmtId="165" fontId="1" fillId="7" borderId="36" xfId="0" applyNumberFormat="1" applyFont="1" applyFill="1" applyBorder="1"/>
    <xf numFmtId="168" fontId="15" fillId="8" borderId="23" xfId="0" applyNumberFormat="1" applyFont="1" applyFill="1" applyBorder="1"/>
    <xf numFmtId="165" fontId="1" fillId="8" borderId="45" xfId="0" applyNumberFormat="1" applyFont="1" applyFill="1" applyBorder="1"/>
    <xf numFmtId="164" fontId="1" fillId="8" borderId="46" xfId="0" applyNumberFormat="1" applyFont="1" applyFill="1" applyBorder="1"/>
    <xf numFmtId="165" fontId="1" fillId="8" borderId="40" xfId="0" applyNumberFormat="1" applyFont="1" applyFill="1" applyBorder="1"/>
    <xf numFmtId="164" fontId="1" fillId="8" borderId="23" xfId="0" applyNumberFormat="1" applyFont="1" applyFill="1" applyBorder="1"/>
    <xf numFmtId="165" fontId="1" fillId="8" borderId="25" xfId="0" applyNumberFormat="1" applyFont="1" applyFill="1" applyBorder="1"/>
    <xf numFmtId="165" fontId="1" fillId="8" borderId="47" xfId="0" applyNumberFormat="1" applyFont="1" applyFill="1" applyBorder="1"/>
    <xf numFmtId="164" fontId="1" fillId="8" borderId="26" xfId="0" applyNumberFormat="1" applyFont="1" applyFill="1" applyBorder="1"/>
    <xf numFmtId="165" fontId="1" fillId="8" borderId="11" xfId="0" applyNumberFormat="1" applyFont="1" applyFill="1" applyBorder="1"/>
    <xf numFmtId="165" fontId="1" fillId="8" borderId="27" xfId="0" applyNumberFormat="1" applyFont="1" applyFill="1" applyBorder="1"/>
    <xf numFmtId="168" fontId="15" fillId="8" borderId="28" xfId="0" applyNumberFormat="1" applyFont="1" applyFill="1" applyBorder="1"/>
    <xf numFmtId="165" fontId="1" fillId="8" borderId="48" xfId="0" applyNumberFormat="1" applyFont="1" applyFill="1" applyBorder="1"/>
    <xf numFmtId="164" fontId="1" fillId="8" borderId="28" xfId="0" applyNumberFormat="1" applyFont="1" applyFill="1" applyBorder="1"/>
    <xf numFmtId="165" fontId="1" fillId="8" borderId="44" xfId="0" applyNumberFormat="1" applyFont="1" applyFill="1" applyBorder="1"/>
    <xf numFmtId="165" fontId="1" fillId="8" borderId="30" xfId="0" applyNumberFormat="1" applyFont="1" applyFill="1" applyBorder="1"/>
    <xf numFmtId="168" fontId="15" fillId="9" borderId="23" xfId="0" applyNumberFormat="1" applyFont="1" applyFill="1" applyBorder="1"/>
    <xf numFmtId="165" fontId="1" fillId="9" borderId="45" xfId="0" applyNumberFormat="1" applyFont="1" applyFill="1" applyBorder="1"/>
    <xf numFmtId="164" fontId="1" fillId="9" borderId="23" xfId="0" applyNumberFormat="1" applyFont="1" applyFill="1" applyBorder="1"/>
    <xf numFmtId="165" fontId="1" fillId="9" borderId="25" xfId="0" applyNumberFormat="1" applyFont="1" applyFill="1" applyBorder="1"/>
    <xf numFmtId="164" fontId="1" fillId="9" borderId="46" xfId="0" applyNumberFormat="1" applyFont="1" applyFill="1" applyBorder="1"/>
    <xf numFmtId="165" fontId="1" fillId="9" borderId="49" xfId="0" applyNumberFormat="1" applyFont="1" applyFill="1" applyBorder="1"/>
    <xf numFmtId="168" fontId="15" fillId="9" borderId="26" xfId="0" applyNumberFormat="1" applyFont="1" applyFill="1" applyBorder="1"/>
    <xf numFmtId="165" fontId="1" fillId="9" borderId="47" xfId="0" applyNumberFormat="1" applyFont="1" applyFill="1" applyBorder="1"/>
    <xf numFmtId="164" fontId="1" fillId="9" borderId="26" xfId="0" applyNumberFormat="1" applyFont="1" applyFill="1" applyBorder="1"/>
    <xf numFmtId="165" fontId="1" fillId="9" borderId="27" xfId="0" applyNumberFormat="1" applyFont="1" applyFill="1" applyBorder="1"/>
    <xf numFmtId="168" fontId="15" fillId="9" borderId="28" xfId="0" applyNumberFormat="1" applyFont="1" applyFill="1" applyBorder="1" applyAlignment="1">
      <alignment vertical="center" wrapText="1"/>
    </xf>
    <xf numFmtId="165" fontId="1" fillId="9" borderId="48" xfId="0" applyNumberFormat="1" applyFont="1" applyFill="1" applyBorder="1"/>
    <xf numFmtId="164" fontId="1" fillId="9" borderId="28" xfId="0" applyNumberFormat="1" applyFont="1" applyFill="1" applyBorder="1"/>
    <xf numFmtId="165" fontId="1" fillId="9" borderId="30" xfId="0" applyNumberFormat="1" applyFont="1" applyFill="1" applyBorder="1"/>
    <xf numFmtId="168" fontId="15" fillId="10" borderId="50" xfId="0" applyNumberFormat="1" applyFont="1" applyFill="1" applyBorder="1" applyAlignment="1">
      <alignment vertical="center" wrapText="1"/>
    </xf>
    <xf numFmtId="165" fontId="1" fillId="10" borderId="51" xfId="0" applyNumberFormat="1" applyFont="1" applyFill="1" applyBorder="1"/>
    <xf numFmtId="164" fontId="1" fillId="10" borderId="50" xfId="0" applyNumberFormat="1" applyFont="1" applyFill="1" applyBorder="1"/>
    <xf numFmtId="165" fontId="1" fillId="10" borderId="52" xfId="0" applyNumberFormat="1" applyFont="1" applyFill="1" applyBorder="1"/>
    <xf numFmtId="164" fontId="1" fillId="10" borderId="53" xfId="0" applyNumberFormat="1" applyFont="1" applyFill="1" applyBorder="1"/>
    <xf numFmtId="165" fontId="1" fillId="10" borderId="54" xfId="0" applyNumberFormat="1" applyFont="1" applyFill="1" applyBorder="1"/>
    <xf numFmtId="0" fontId="1" fillId="13" borderId="55" xfId="0" applyFont="1" applyFill="1" applyBorder="1"/>
    <xf numFmtId="165" fontId="18" fillId="2" borderId="52" xfId="0" applyNumberFormat="1" applyFont="1" applyFill="1" applyBorder="1"/>
    <xf numFmtId="164" fontId="18" fillId="13" borderId="20" xfId="0" applyNumberFormat="1" applyFont="1" applyFill="1" applyBorder="1"/>
    <xf numFmtId="165" fontId="18" fillId="2" borderId="22" xfId="0" applyNumberFormat="1" applyFont="1" applyFill="1" applyBorder="1"/>
    <xf numFmtId="165" fontId="1" fillId="2" borderId="1" xfId="0" applyNumberFormat="1" applyFont="1" applyFill="1" applyBorder="1"/>
    <xf numFmtId="169" fontId="13" fillId="7" borderId="56" xfId="0" applyNumberFormat="1" applyFont="1" applyFill="1" applyBorder="1" applyAlignment="1">
      <alignment vertical="center"/>
    </xf>
    <xf numFmtId="168" fontId="15" fillId="13" borderId="25" xfId="0" applyNumberFormat="1" applyFont="1" applyFill="1" applyBorder="1"/>
    <xf numFmtId="169" fontId="13" fillId="7" borderId="23" xfId="0" applyNumberFormat="1" applyFont="1" applyFill="1" applyBorder="1" applyAlignment="1">
      <alignment vertical="center"/>
    </xf>
    <xf numFmtId="168" fontId="15" fillId="13" borderId="24" xfId="0" applyNumberFormat="1" applyFont="1" applyFill="1" applyBorder="1"/>
    <xf numFmtId="169" fontId="13" fillId="7" borderId="57" xfId="0" applyNumberFormat="1" applyFont="1" applyFill="1" applyBorder="1" applyAlignment="1">
      <alignment vertical="center"/>
    </xf>
    <xf numFmtId="168" fontId="15" fillId="13" borderId="27" xfId="0" applyNumberFormat="1" applyFont="1" applyFill="1" applyBorder="1"/>
    <xf numFmtId="169" fontId="13" fillId="7" borderId="26" xfId="0" applyNumberFormat="1" applyFont="1" applyFill="1" applyBorder="1" applyAlignment="1">
      <alignment vertical="center"/>
    </xf>
    <xf numFmtId="168" fontId="15" fillId="13" borderId="10" xfId="0" applyNumberFormat="1" applyFont="1" applyFill="1" applyBorder="1"/>
    <xf numFmtId="169" fontId="13" fillId="7" borderId="58" xfId="0" applyNumberFormat="1" applyFont="1" applyFill="1" applyBorder="1" applyAlignment="1">
      <alignment vertical="center"/>
    </xf>
    <xf numFmtId="168" fontId="15" fillId="13" borderId="30" xfId="0" applyNumberFormat="1" applyFont="1" applyFill="1" applyBorder="1"/>
    <xf numFmtId="169" fontId="13" fillId="7" borderId="28" xfId="0" applyNumberFormat="1" applyFont="1" applyFill="1" applyBorder="1" applyAlignment="1">
      <alignment vertical="center"/>
    </xf>
    <xf numFmtId="168" fontId="15" fillId="13" borderId="29" xfId="0" applyNumberFormat="1" applyFont="1" applyFill="1" applyBorder="1"/>
    <xf numFmtId="169" fontId="13" fillId="8" borderId="59" xfId="0" applyNumberFormat="1" applyFont="1" applyFill="1" applyBorder="1" applyAlignment="1">
      <alignment vertical="center" wrapText="1"/>
    </xf>
    <xf numFmtId="168" fontId="15" fillId="13" borderId="60" xfId="0" applyNumberFormat="1" applyFont="1" applyFill="1" applyBorder="1" applyAlignment="1">
      <alignment wrapText="1"/>
    </xf>
    <xf numFmtId="169" fontId="13" fillId="8" borderId="60" xfId="0" applyNumberFormat="1" applyFont="1" applyFill="1" applyBorder="1" applyAlignment="1">
      <alignment vertical="center" wrapText="1"/>
    </xf>
    <xf numFmtId="168" fontId="15" fillId="13" borderId="61" xfId="0" applyNumberFormat="1" applyFont="1" applyFill="1" applyBorder="1" applyAlignment="1">
      <alignment wrapText="1"/>
    </xf>
    <xf numFmtId="168" fontId="15" fillId="13" borderId="59" xfId="0" applyNumberFormat="1" applyFont="1" applyFill="1" applyBorder="1" applyAlignment="1">
      <alignment wrapText="1"/>
    </xf>
    <xf numFmtId="169" fontId="13" fillId="9" borderId="1" xfId="0" applyNumberFormat="1" applyFont="1" applyFill="1" applyBorder="1" applyAlignment="1">
      <alignment vertical="center"/>
    </xf>
    <xf numFmtId="168" fontId="15" fillId="13" borderId="62" xfId="0" applyNumberFormat="1" applyFont="1" applyFill="1" applyBorder="1"/>
    <xf numFmtId="169" fontId="13" fillId="9" borderId="60" xfId="0" applyNumberFormat="1" applyFont="1" applyFill="1" applyBorder="1" applyAlignment="1">
      <alignment vertical="center"/>
    </xf>
    <xf numFmtId="168" fontId="15" fillId="13" borderId="61" xfId="0" applyNumberFormat="1" applyFont="1" applyFill="1" applyBorder="1"/>
    <xf numFmtId="168" fontId="15" fillId="13" borderId="59" xfId="0" applyNumberFormat="1" applyFont="1" applyFill="1" applyBorder="1"/>
    <xf numFmtId="169" fontId="13" fillId="10" borderId="61" xfId="0" applyNumberFormat="1" applyFont="1" applyFill="1" applyBorder="1" applyAlignment="1">
      <alignment vertical="center" wrapText="1"/>
    </xf>
    <xf numFmtId="168" fontId="15" fillId="13" borderId="63" xfId="0" applyNumberFormat="1" applyFont="1" applyFill="1" applyBorder="1" applyAlignment="1">
      <alignment vertical="center" wrapText="1"/>
    </xf>
    <xf numFmtId="169" fontId="13" fillId="10" borderId="60" xfId="0" applyNumberFormat="1" applyFont="1" applyFill="1" applyBorder="1" applyAlignment="1">
      <alignment vertical="center" wrapText="1"/>
    </xf>
    <xf numFmtId="168" fontId="15" fillId="13" borderId="61" xfId="0" applyNumberFormat="1" applyFont="1" applyFill="1" applyBorder="1" applyAlignment="1">
      <alignment vertical="center" wrapText="1"/>
    </xf>
    <xf numFmtId="168" fontId="15" fillId="13" borderId="59" xfId="0" applyNumberFormat="1" applyFont="1" applyFill="1" applyBorder="1" applyAlignment="1">
      <alignment vertical="center" wrapText="1"/>
    </xf>
    <xf numFmtId="167" fontId="1" fillId="2" borderId="1" xfId="0" applyNumberFormat="1" applyFont="1" applyFill="1" applyBorder="1"/>
    <xf numFmtId="164" fontId="1" fillId="2" borderId="1" xfId="0" applyNumberFormat="1" applyFont="1" applyFill="1" applyBorder="1"/>
    <xf numFmtId="0" fontId="10" fillId="4" borderId="63" xfId="0" applyFont="1" applyFill="1" applyBorder="1" applyAlignment="1">
      <alignment horizontal="center" vertical="center"/>
    </xf>
    <xf numFmtId="0" fontId="1" fillId="2" borderId="8" xfId="0" applyFont="1" applyFill="1" applyBorder="1"/>
    <xf numFmtId="0" fontId="10" fillId="2" borderId="9" xfId="0" applyFont="1" applyFill="1" applyBorder="1" applyAlignment="1">
      <alignment horizontal="center" vertical="center"/>
    </xf>
    <xf numFmtId="167" fontId="1" fillId="2" borderId="9" xfId="0" applyNumberFormat="1" applyFont="1" applyFill="1" applyBorder="1"/>
    <xf numFmtId="0" fontId="1" fillId="2" borderId="9" xfId="0" applyFont="1" applyFill="1" applyBorder="1" applyAlignment="1">
      <alignment horizontal="center" vertical="center"/>
    </xf>
    <xf numFmtId="0" fontId="10" fillId="13" borderId="1" xfId="0" applyFont="1" applyFill="1" applyBorder="1" applyAlignment="1">
      <alignment horizontal="center" vertical="center"/>
    </xf>
    <xf numFmtId="0" fontId="1" fillId="13" borderId="1" xfId="0" applyFont="1" applyFill="1" applyBorder="1"/>
    <xf numFmtId="167" fontId="1" fillId="13" borderId="1" xfId="0" applyNumberFormat="1" applyFont="1" applyFill="1" applyBorder="1"/>
    <xf numFmtId="0" fontId="1" fillId="13" borderId="1" xfId="0" applyFont="1" applyFill="1" applyBorder="1" applyAlignment="1">
      <alignment horizontal="center" vertical="center"/>
    </xf>
    <xf numFmtId="0" fontId="18" fillId="5" borderId="28" xfId="0" applyFont="1" applyFill="1" applyBorder="1" applyAlignment="1">
      <alignment horizontal="center" vertical="center" wrapText="1"/>
    </xf>
    <xf numFmtId="0" fontId="18" fillId="5" borderId="30" xfId="0" applyFont="1" applyFill="1" applyBorder="1" applyAlignment="1">
      <alignment horizontal="center" vertical="center" wrapText="1"/>
    </xf>
    <xf numFmtId="165" fontId="1" fillId="7" borderId="45" xfId="0" applyNumberFormat="1" applyFont="1" applyFill="1" applyBorder="1"/>
    <xf numFmtId="165" fontId="1" fillId="7" borderId="25" xfId="0" applyNumberFormat="1" applyFont="1" applyFill="1" applyBorder="1"/>
    <xf numFmtId="165" fontId="1" fillId="7" borderId="47" xfId="0" applyNumberFormat="1" applyFont="1" applyFill="1" applyBorder="1"/>
    <xf numFmtId="165" fontId="1" fillId="7" borderId="48" xfId="0" applyNumberFormat="1" applyFont="1" applyFill="1" applyBorder="1"/>
    <xf numFmtId="165" fontId="1" fillId="7" borderId="30" xfId="0" applyNumberFormat="1" applyFont="1" applyFill="1" applyBorder="1"/>
    <xf numFmtId="165" fontId="1" fillId="8" borderId="34" xfId="0" applyNumberFormat="1" applyFont="1" applyFill="1" applyBorder="1"/>
    <xf numFmtId="165" fontId="1" fillId="8" borderId="37" xfId="0" applyNumberFormat="1" applyFont="1" applyFill="1" applyBorder="1"/>
    <xf numFmtId="164" fontId="1" fillId="8" borderId="28" xfId="0" applyNumberFormat="1" applyFont="1" applyFill="1" applyBorder="1" applyAlignment="1">
      <alignment horizontal="center"/>
    </xf>
    <xf numFmtId="164" fontId="1" fillId="9" borderId="23" xfId="0" applyNumberFormat="1" applyFont="1" applyFill="1" applyBorder="1" applyAlignment="1">
      <alignment horizontal="center"/>
    </xf>
    <xf numFmtId="164" fontId="1" fillId="9" borderId="25" xfId="0" applyNumberFormat="1" applyFont="1" applyFill="1" applyBorder="1"/>
    <xf numFmtId="164" fontId="1" fillId="9" borderId="26" xfId="0" applyNumberFormat="1" applyFont="1" applyFill="1" applyBorder="1" applyAlignment="1">
      <alignment horizontal="center"/>
    </xf>
    <xf numFmtId="164" fontId="1" fillId="9" borderId="27" xfId="0" applyNumberFormat="1" applyFont="1" applyFill="1" applyBorder="1"/>
    <xf numFmtId="164" fontId="1" fillId="9" borderId="28" xfId="0" applyNumberFormat="1" applyFont="1" applyFill="1" applyBorder="1" applyAlignment="1">
      <alignment horizontal="center"/>
    </xf>
    <xf numFmtId="164" fontId="1" fillId="9" borderId="30" xfId="0" applyNumberFormat="1" applyFont="1" applyFill="1" applyBorder="1"/>
    <xf numFmtId="168" fontId="15" fillId="8" borderId="20" xfId="0" applyNumberFormat="1" applyFont="1" applyFill="1" applyBorder="1" applyAlignment="1">
      <alignment vertical="center" wrapText="1"/>
    </xf>
    <xf numFmtId="165" fontId="1" fillId="8" borderId="71" xfId="0" applyNumberFormat="1" applyFont="1" applyFill="1" applyBorder="1"/>
    <xf numFmtId="164" fontId="1" fillId="8" borderId="31" xfId="0" applyNumberFormat="1" applyFont="1" applyFill="1" applyBorder="1" applyAlignment="1">
      <alignment horizontal="center"/>
    </xf>
    <xf numFmtId="165" fontId="1" fillId="8" borderId="33" xfId="0" applyNumberFormat="1" applyFont="1" applyFill="1" applyBorder="1"/>
    <xf numFmtId="164" fontId="1" fillId="8" borderId="31" xfId="0" applyNumberFormat="1" applyFont="1" applyFill="1" applyBorder="1"/>
    <xf numFmtId="164" fontId="1" fillId="8" borderId="33" xfId="0" applyNumberFormat="1" applyFont="1" applyFill="1" applyBorder="1"/>
    <xf numFmtId="169" fontId="13" fillId="8" borderId="61" xfId="0" applyNumberFormat="1" applyFont="1" applyFill="1" applyBorder="1" applyAlignment="1">
      <alignment vertical="center" wrapText="1"/>
    </xf>
    <xf numFmtId="169" fontId="13" fillId="9" borderId="61" xfId="0" applyNumberFormat="1" applyFont="1" applyFill="1" applyBorder="1" applyAlignment="1">
      <alignment vertical="center"/>
    </xf>
    <xf numFmtId="168" fontId="15" fillId="13" borderId="60" xfId="0" applyNumberFormat="1" applyFont="1" applyFill="1" applyBorder="1"/>
    <xf numFmtId="168" fontId="15" fillId="13" borderId="60" xfId="0" applyNumberFormat="1" applyFont="1" applyFill="1" applyBorder="1" applyAlignment="1">
      <alignment vertical="center" wrapText="1"/>
    </xf>
    <xf numFmtId="0" fontId="10" fillId="2" borderId="1" xfId="0" applyFont="1" applyFill="1" applyBorder="1" applyAlignment="1">
      <alignment horizontal="center" vertical="center"/>
    </xf>
    <xf numFmtId="0" fontId="1" fillId="2" borderId="1" xfId="0" applyFont="1" applyFill="1" applyBorder="1" applyAlignment="1">
      <alignment horizontal="center" vertical="center"/>
    </xf>
    <xf numFmtId="168" fontId="15" fillId="10" borderId="20" xfId="0" applyNumberFormat="1" applyFont="1" applyFill="1" applyBorder="1" applyAlignment="1">
      <alignment vertical="center" wrapText="1"/>
    </xf>
    <xf numFmtId="165" fontId="1" fillId="10" borderId="71" xfId="0" applyNumberFormat="1" applyFont="1" applyFill="1" applyBorder="1"/>
    <xf numFmtId="164" fontId="1" fillId="10" borderId="31" xfId="0" applyNumberFormat="1" applyFont="1" applyFill="1" applyBorder="1"/>
    <xf numFmtId="165" fontId="1" fillId="10" borderId="33" xfId="0" applyNumberFormat="1" applyFont="1" applyFill="1" applyBorder="1"/>
    <xf numFmtId="164" fontId="1" fillId="10" borderId="33" xfId="0" applyNumberFormat="1" applyFont="1" applyFill="1" applyBorder="1"/>
    <xf numFmtId="0" fontId="8" fillId="3" borderId="1" xfId="0" applyFont="1" applyFill="1" applyBorder="1" applyAlignment="1">
      <alignment vertical="center"/>
    </xf>
    <xf numFmtId="0" fontId="1" fillId="2" borderId="0" xfId="0" applyFont="1" applyFill="1" applyBorder="1"/>
    <xf numFmtId="0" fontId="10" fillId="2" borderId="1" xfId="0" applyFont="1" applyFill="1" applyBorder="1"/>
    <xf numFmtId="0" fontId="1" fillId="2" borderId="10" xfId="0" applyFont="1" applyFill="1" applyBorder="1"/>
    <xf numFmtId="0" fontId="1" fillId="2" borderId="77" xfId="0" applyFont="1" applyFill="1" applyBorder="1"/>
    <xf numFmtId="0" fontId="1" fillId="2" borderId="24" xfId="0" applyFont="1" applyFill="1" applyBorder="1" applyAlignment="1">
      <alignment horizontal="center" vertical="center"/>
    </xf>
    <xf numFmtId="0" fontId="1" fillId="2" borderId="24" xfId="0" applyFont="1" applyFill="1" applyBorder="1"/>
    <xf numFmtId="0" fontId="1" fillId="2" borderId="81" xfId="0" applyFont="1" applyFill="1" applyBorder="1" applyAlignment="1">
      <alignment horizontal="center" vertical="center"/>
    </xf>
    <xf numFmtId="0" fontId="1" fillId="2" borderId="29" xfId="0" applyFont="1" applyFill="1" applyBorder="1"/>
    <xf numFmtId="0" fontId="18" fillId="2" borderId="1" xfId="0" applyFont="1" applyFill="1" applyBorder="1" applyAlignment="1">
      <alignment horizontal="center"/>
    </xf>
    <xf numFmtId="0" fontId="17" fillId="3" borderId="1" xfId="0" applyFont="1" applyFill="1" applyBorder="1" applyAlignment="1">
      <alignment vertical="center"/>
    </xf>
    <xf numFmtId="167" fontId="1" fillId="2" borderId="10" xfId="0" applyNumberFormat="1" applyFont="1" applyFill="1" applyBorder="1" applyAlignment="1">
      <alignment horizontal="center"/>
    </xf>
    <xf numFmtId="168" fontId="13" fillId="5" borderId="20" xfId="0" applyNumberFormat="1" applyFont="1" applyFill="1" applyBorder="1" applyAlignment="1">
      <alignment horizontal="center" wrapText="1"/>
    </xf>
    <xf numFmtId="168" fontId="20" fillId="5" borderId="21" xfId="0" applyNumberFormat="1" applyFont="1" applyFill="1" applyBorder="1" applyAlignment="1">
      <alignment horizontal="center" vertical="center" wrapText="1"/>
    </xf>
    <xf numFmtId="168" fontId="20" fillId="5" borderId="22" xfId="0" applyNumberFormat="1" applyFont="1" applyFill="1" applyBorder="1" applyAlignment="1">
      <alignment horizontal="center" vertical="center" wrapText="1"/>
    </xf>
    <xf numFmtId="165" fontId="1" fillId="17" borderId="24" xfId="0" applyNumberFormat="1" applyFont="1" applyFill="1" applyBorder="1" applyAlignment="1">
      <alignment wrapText="1"/>
    </xf>
    <xf numFmtId="165" fontId="1" fillId="17" borderId="25" xfId="0" applyNumberFormat="1" applyFont="1" applyFill="1" applyBorder="1" applyAlignment="1">
      <alignment wrapText="1"/>
    </xf>
    <xf numFmtId="165" fontId="1" fillId="17" borderId="10" xfId="0" applyNumberFormat="1" applyFont="1" applyFill="1" applyBorder="1" applyAlignment="1">
      <alignment wrapText="1"/>
    </xf>
    <xf numFmtId="165" fontId="1" fillId="17" borderId="27" xfId="0" applyNumberFormat="1" applyFont="1" applyFill="1" applyBorder="1" applyAlignment="1">
      <alignment wrapText="1"/>
    </xf>
    <xf numFmtId="165" fontId="1" fillId="17" borderId="29" xfId="0" applyNumberFormat="1" applyFont="1" applyFill="1" applyBorder="1" applyAlignment="1">
      <alignment wrapText="1"/>
    </xf>
    <xf numFmtId="165" fontId="1" fillId="17" borderId="30" xfId="0" applyNumberFormat="1" applyFont="1" applyFill="1" applyBorder="1" applyAlignment="1">
      <alignment wrapText="1"/>
    </xf>
    <xf numFmtId="165" fontId="1" fillId="8" borderId="24" xfId="0" applyNumberFormat="1" applyFont="1" applyFill="1" applyBorder="1" applyAlignment="1">
      <alignment wrapText="1"/>
    </xf>
    <xf numFmtId="165" fontId="1" fillId="8" borderId="25" xfId="0" applyNumberFormat="1" applyFont="1" applyFill="1" applyBorder="1" applyAlignment="1">
      <alignment wrapText="1"/>
    </xf>
    <xf numFmtId="165" fontId="1" fillId="8" borderId="10" xfId="0" applyNumberFormat="1" applyFont="1" applyFill="1" applyBorder="1" applyAlignment="1">
      <alignment wrapText="1"/>
    </xf>
    <xf numFmtId="165" fontId="1" fillId="8" borderId="27" xfId="0" applyNumberFormat="1" applyFont="1" applyFill="1" applyBorder="1" applyAlignment="1">
      <alignment wrapText="1"/>
    </xf>
    <xf numFmtId="168" fontId="13" fillId="8" borderId="28" xfId="0" applyNumberFormat="1" applyFont="1" applyFill="1" applyBorder="1" applyAlignment="1">
      <alignment horizontal="left" wrapText="1"/>
    </xf>
    <xf numFmtId="165" fontId="1" fillId="8" borderId="29" xfId="0" applyNumberFormat="1" applyFont="1" applyFill="1" applyBorder="1" applyAlignment="1">
      <alignment wrapText="1"/>
    </xf>
    <xf numFmtId="165" fontId="1" fillId="8" borderId="30" xfId="0" applyNumberFormat="1" applyFont="1" applyFill="1" applyBorder="1" applyAlignment="1">
      <alignment wrapText="1"/>
    </xf>
    <xf numFmtId="168" fontId="13" fillId="5" borderId="23" xfId="0" applyNumberFormat="1" applyFont="1" applyFill="1" applyBorder="1" applyAlignment="1">
      <alignment horizontal="left" wrapText="1"/>
    </xf>
    <xf numFmtId="165" fontId="1" fillId="5" borderId="24" xfId="0" applyNumberFormat="1" applyFont="1" applyFill="1" applyBorder="1" applyAlignment="1">
      <alignment wrapText="1"/>
    </xf>
    <xf numFmtId="165" fontId="1" fillId="5" borderId="25" xfId="0" applyNumberFormat="1" applyFont="1" applyFill="1" applyBorder="1" applyAlignment="1">
      <alignment wrapText="1"/>
    </xf>
    <xf numFmtId="168" fontId="13" fillId="5" borderId="26" xfId="0" applyNumberFormat="1" applyFont="1" applyFill="1" applyBorder="1" applyAlignment="1">
      <alignment horizontal="left" wrapText="1"/>
    </xf>
    <xf numFmtId="165" fontId="1" fillId="5" borderId="10" xfId="0" applyNumberFormat="1" applyFont="1" applyFill="1" applyBorder="1" applyAlignment="1">
      <alignment wrapText="1"/>
    </xf>
    <xf numFmtId="165" fontId="1" fillId="5" borderId="27" xfId="0" applyNumberFormat="1" applyFont="1" applyFill="1" applyBorder="1" applyAlignment="1">
      <alignment wrapText="1"/>
    </xf>
    <xf numFmtId="168" fontId="13" fillId="5" borderId="28" xfId="0" applyNumberFormat="1" applyFont="1" applyFill="1" applyBorder="1" applyAlignment="1">
      <alignment horizontal="left" vertical="center" wrapText="1"/>
    </xf>
    <xf numFmtId="165" fontId="1" fillId="5" borderId="29" xfId="0" applyNumberFormat="1" applyFont="1" applyFill="1" applyBorder="1" applyAlignment="1">
      <alignment wrapText="1"/>
    </xf>
    <xf numFmtId="165" fontId="1" fillId="5" borderId="30" xfId="0" applyNumberFormat="1" applyFont="1" applyFill="1" applyBorder="1" applyAlignment="1">
      <alignment wrapText="1"/>
    </xf>
    <xf numFmtId="168" fontId="13" fillId="10" borderId="80" xfId="0" applyNumberFormat="1" applyFont="1" applyFill="1" applyBorder="1" applyAlignment="1">
      <alignment horizontal="left" vertical="center" wrapText="1"/>
    </xf>
    <xf numFmtId="165" fontId="1" fillId="10" borderId="81" xfId="0" applyNumberFormat="1" applyFont="1" applyFill="1" applyBorder="1" applyAlignment="1">
      <alignment wrapText="1"/>
    </xf>
    <xf numFmtId="165" fontId="1" fillId="10" borderId="88" xfId="0" applyNumberFormat="1" applyFont="1" applyFill="1" applyBorder="1" applyAlignment="1">
      <alignment wrapText="1"/>
    </xf>
    <xf numFmtId="167" fontId="1" fillId="2" borderId="1" xfId="0" applyNumberFormat="1" applyFont="1" applyFill="1" applyBorder="1" applyAlignment="1">
      <alignment horizontal="center"/>
    </xf>
    <xf numFmtId="165" fontId="1" fillId="0" borderId="29" xfId="0" applyNumberFormat="1" applyFont="1" applyBorder="1" applyAlignment="1">
      <alignment horizontal="center"/>
    </xf>
    <xf numFmtId="9" fontId="1" fillId="2" borderId="1" xfId="0" applyNumberFormat="1" applyFont="1" applyFill="1" applyBorder="1" applyAlignment="1">
      <alignment horizontal="center"/>
    </xf>
    <xf numFmtId="165" fontId="1" fillId="5" borderId="85" xfId="0" applyNumberFormat="1" applyFont="1" applyFill="1" applyBorder="1"/>
    <xf numFmtId="165" fontId="1" fillId="5" borderId="37" xfId="0" applyNumberFormat="1" applyFont="1" applyFill="1" applyBorder="1"/>
    <xf numFmtId="0" fontId="1" fillId="0" borderId="35" xfId="0" applyFont="1" applyBorder="1" applyAlignment="1">
      <alignment horizontal="left" vertical="center" wrapText="1"/>
    </xf>
    <xf numFmtId="170" fontId="1" fillId="0" borderId="67" xfId="0" applyNumberFormat="1" applyFont="1" applyBorder="1" applyAlignment="1">
      <alignment horizontal="center"/>
    </xf>
    <xf numFmtId="1" fontId="1" fillId="0" borderId="100" xfId="0" applyNumberFormat="1" applyFont="1" applyBorder="1" applyAlignment="1">
      <alignment horizontal="center"/>
    </xf>
    <xf numFmtId="165" fontId="1" fillId="0" borderId="101" xfId="0" applyNumberFormat="1" applyFont="1" applyBorder="1" applyAlignment="1">
      <alignment horizontal="center"/>
    </xf>
    <xf numFmtId="0" fontId="1" fillId="0" borderId="102" xfId="0" applyFont="1" applyBorder="1" applyAlignment="1">
      <alignment horizontal="left" vertical="center" wrapText="1"/>
    </xf>
    <xf numFmtId="170" fontId="1" fillId="0" borderId="86" xfId="0" applyNumberFormat="1" applyFont="1" applyBorder="1" applyAlignment="1">
      <alignment horizontal="center"/>
    </xf>
    <xf numFmtId="0" fontId="1" fillId="0" borderId="28" xfId="0" applyFont="1" applyBorder="1" applyAlignment="1">
      <alignment horizontal="left" vertical="center" wrapText="1"/>
    </xf>
    <xf numFmtId="170" fontId="1" fillId="13" borderId="30" xfId="0" applyNumberFormat="1" applyFont="1" applyFill="1" applyBorder="1" applyAlignment="1">
      <alignment horizontal="center"/>
    </xf>
    <xf numFmtId="1" fontId="1" fillId="13" borderId="103" xfId="0" applyNumberFormat="1" applyFont="1" applyFill="1" applyBorder="1" applyAlignment="1">
      <alignment horizontal="center"/>
    </xf>
    <xf numFmtId="165" fontId="1" fillId="0" borderId="104" xfId="0" applyNumberFormat="1" applyFont="1" applyBorder="1" applyAlignment="1">
      <alignment horizontal="center"/>
    </xf>
    <xf numFmtId="1" fontId="1" fillId="13" borderId="104" xfId="0" applyNumberFormat="1" applyFont="1" applyFill="1" applyBorder="1" applyAlignment="1">
      <alignment horizontal="center"/>
    </xf>
    <xf numFmtId="0" fontId="18" fillId="4" borderId="60" xfId="0" applyFont="1" applyFill="1" applyBorder="1" applyAlignment="1">
      <alignment horizontal="center" vertical="center" wrapText="1"/>
    </xf>
    <xf numFmtId="0" fontId="1" fillId="0" borderId="53" xfId="0" applyFont="1" applyBorder="1" applyAlignment="1">
      <alignment horizontal="left" vertical="center"/>
    </xf>
    <xf numFmtId="170" fontId="1" fillId="13" borderId="54" xfId="0" applyNumberFormat="1" applyFont="1" applyFill="1" applyBorder="1" applyAlignment="1">
      <alignment horizontal="center"/>
    </xf>
    <xf numFmtId="1" fontId="1" fillId="13" borderId="89" xfId="0" applyNumberFormat="1" applyFont="1" applyFill="1" applyBorder="1" applyAlignment="1">
      <alignment horizontal="center"/>
    </xf>
    <xf numFmtId="165" fontId="1" fillId="0" borderId="90" xfId="0" applyNumberFormat="1" applyFont="1" applyBorder="1" applyAlignment="1">
      <alignment horizontal="center"/>
    </xf>
    <xf numFmtId="1" fontId="1" fillId="13" borderId="90" xfId="0" applyNumberFormat="1" applyFont="1" applyFill="1" applyBorder="1" applyAlignment="1">
      <alignment horizontal="center"/>
    </xf>
    <xf numFmtId="0" fontId="1" fillId="0" borderId="107" xfId="0" applyFont="1" applyBorder="1" applyAlignment="1">
      <alignment horizontal="left" vertical="center" wrapText="1"/>
    </xf>
    <xf numFmtId="170" fontId="1" fillId="13" borderId="70" xfId="0" applyNumberFormat="1" applyFont="1" applyFill="1" applyBorder="1" applyAlignment="1">
      <alignment horizontal="center"/>
    </xf>
    <xf numFmtId="165" fontId="1" fillId="5" borderId="19" xfId="0" applyNumberFormat="1" applyFont="1" applyFill="1" applyBorder="1"/>
    <xf numFmtId="0" fontId="21" fillId="3" borderId="1" xfId="0" applyFont="1" applyFill="1" applyBorder="1" applyAlignment="1">
      <alignment vertical="center"/>
    </xf>
    <xf numFmtId="0" fontId="1" fillId="15" borderId="10" xfId="0" applyFont="1" applyFill="1" applyBorder="1"/>
    <xf numFmtId="0" fontId="1" fillId="19" borderId="10" xfId="0" applyFont="1" applyFill="1" applyBorder="1"/>
    <xf numFmtId="0" fontId="1" fillId="18" borderId="24" xfId="0" applyFont="1" applyFill="1" applyBorder="1"/>
    <xf numFmtId="165" fontId="1" fillId="2" borderId="24" xfId="0" applyNumberFormat="1" applyFont="1" applyFill="1" applyBorder="1"/>
    <xf numFmtId="165" fontId="1" fillId="0" borderId="24" xfId="0" applyNumberFormat="1" applyFont="1" applyBorder="1" applyAlignment="1">
      <alignment horizontal="center"/>
    </xf>
    <xf numFmtId="165" fontId="18" fillId="5" borderId="25" xfId="0" applyNumberFormat="1" applyFont="1" applyFill="1" applyBorder="1"/>
    <xf numFmtId="165" fontId="1" fillId="2" borderId="10" xfId="0" applyNumberFormat="1" applyFont="1" applyFill="1" applyBorder="1"/>
    <xf numFmtId="165" fontId="1" fillId="0" borderId="10" xfId="0" applyNumberFormat="1" applyFont="1" applyBorder="1" applyAlignment="1">
      <alignment horizontal="center"/>
    </xf>
    <xf numFmtId="165" fontId="18" fillId="5" borderId="27" xfId="0" applyNumberFormat="1" applyFont="1" applyFill="1" applyBorder="1"/>
    <xf numFmtId="165" fontId="1" fillId="0" borderId="24" xfId="0" applyNumberFormat="1" applyFont="1" applyBorder="1" applyAlignment="1">
      <alignment horizontal="left" vertical="center"/>
    </xf>
    <xf numFmtId="165" fontId="1" fillId="0" borderId="10" xfId="0" applyNumberFormat="1" applyFont="1" applyBorder="1" applyAlignment="1">
      <alignment horizontal="left" vertical="center"/>
    </xf>
    <xf numFmtId="0" fontId="1" fillId="15" borderId="29" xfId="0" applyFont="1" applyFill="1" applyBorder="1"/>
    <xf numFmtId="165" fontId="1" fillId="2" borderId="29" xfId="0" applyNumberFormat="1" applyFont="1" applyFill="1" applyBorder="1"/>
    <xf numFmtId="165" fontId="18" fillId="5" borderId="30" xfId="0" applyNumberFormat="1" applyFont="1" applyFill="1" applyBorder="1"/>
    <xf numFmtId="0" fontId="1" fillId="18" borderId="10" xfId="0" applyFont="1" applyFill="1" applyBorder="1"/>
    <xf numFmtId="0" fontId="13" fillId="5" borderId="10" xfId="0" applyFont="1" applyFill="1" applyBorder="1" applyAlignment="1">
      <alignment horizontal="center" vertical="center"/>
    </xf>
    <xf numFmtId="0" fontId="1" fillId="0" borderId="26" xfId="0" applyFont="1" applyBorder="1" applyAlignment="1">
      <alignment vertical="center"/>
    </xf>
    <xf numFmtId="0" fontId="1" fillId="0" borderId="10" xfId="0" applyFont="1" applyBorder="1" applyAlignment="1">
      <alignment horizontal="center"/>
    </xf>
    <xf numFmtId="170" fontId="1" fillId="0" borderId="10" xfId="0" applyNumberFormat="1" applyFont="1" applyBorder="1" applyAlignment="1">
      <alignment horizontal="center"/>
    </xf>
    <xf numFmtId="167" fontId="1" fillId="5" borderId="27" xfId="0" applyNumberFormat="1" applyFont="1" applyFill="1" applyBorder="1"/>
    <xf numFmtId="0" fontId="1" fillId="3" borderId="10" xfId="0" applyFont="1" applyFill="1" applyBorder="1" applyAlignment="1">
      <alignment horizontal="center"/>
    </xf>
    <xf numFmtId="0" fontId="13" fillId="5" borderId="107" xfId="0" applyFont="1" applyFill="1" applyBorder="1" applyAlignment="1">
      <alignment horizontal="center" vertical="center"/>
    </xf>
    <xf numFmtId="0" fontId="18" fillId="5" borderId="29" xfId="0" applyFont="1" applyFill="1" applyBorder="1" applyAlignment="1">
      <alignment horizontal="center"/>
    </xf>
    <xf numFmtId="170" fontId="18" fillId="5" borderId="29" xfId="0" applyNumberFormat="1" applyFont="1" applyFill="1" applyBorder="1" applyAlignment="1">
      <alignment horizontal="center"/>
    </xf>
    <xf numFmtId="167" fontId="18" fillId="12" borderId="30" xfId="0" applyNumberFormat="1" applyFont="1" applyFill="1" applyBorder="1"/>
    <xf numFmtId="0" fontId="1" fillId="20" borderId="10" xfId="0" applyFont="1" applyFill="1" applyBorder="1" applyAlignment="1">
      <alignment horizontal="center"/>
    </xf>
    <xf numFmtId="0" fontId="18" fillId="5" borderId="80" xfId="0" applyFont="1" applyFill="1" applyBorder="1" applyAlignment="1">
      <alignment horizontal="center"/>
    </xf>
    <xf numFmtId="167" fontId="1" fillId="0" borderId="28" xfId="0" applyNumberFormat="1" applyFont="1" applyBorder="1" applyAlignment="1">
      <alignment horizontal="center"/>
    </xf>
    <xf numFmtId="167" fontId="1" fillId="0" borderId="29" xfId="0" applyNumberFormat="1" applyFont="1" applyBorder="1" applyAlignment="1">
      <alignment horizontal="center"/>
    </xf>
    <xf numFmtId="167" fontId="1" fillId="0" borderId="30" xfId="0" applyNumberFormat="1" applyFont="1" applyBorder="1" applyAlignment="1">
      <alignment horizontal="center"/>
    </xf>
    <xf numFmtId="0" fontId="13" fillId="5" borderId="80" xfId="0" applyFont="1" applyFill="1" applyBorder="1" applyAlignment="1">
      <alignment horizontal="center"/>
    </xf>
    <xf numFmtId="0" fontId="13" fillId="5" borderId="81" xfId="0" applyFont="1" applyFill="1" applyBorder="1" applyAlignment="1">
      <alignment horizontal="center"/>
    </xf>
    <xf numFmtId="167" fontId="1" fillId="0" borderId="10" xfId="0" applyNumberFormat="1" applyFont="1" applyBorder="1" applyAlignment="1">
      <alignment horizontal="center"/>
    </xf>
    <xf numFmtId="167" fontId="1" fillId="0" borderId="11" xfId="0" applyNumberFormat="1" applyFont="1" applyBorder="1" applyAlignment="1">
      <alignment horizontal="center"/>
    </xf>
    <xf numFmtId="0" fontId="1" fillId="2" borderId="83" xfId="0" applyFont="1" applyFill="1" applyBorder="1" applyAlignment="1">
      <alignment vertical="center"/>
    </xf>
    <xf numFmtId="0" fontId="1" fillId="2" borderId="112" xfId="0" applyFont="1" applyFill="1" applyBorder="1" applyAlignment="1">
      <alignment vertical="center"/>
    </xf>
    <xf numFmtId="0" fontId="22" fillId="2" borderId="84" xfId="0" applyFont="1" applyFill="1" applyBorder="1"/>
    <xf numFmtId="0" fontId="23" fillId="0" borderId="84" xfId="0" applyFont="1" applyBorder="1"/>
    <xf numFmtId="0" fontId="1" fillId="0" borderId="0" xfId="0" applyFont="1" applyBorder="1"/>
    <xf numFmtId="0" fontId="24" fillId="0" borderId="18" xfId="0" applyFont="1" applyBorder="1"/>
    <xf numFmtId="0" fontId="1" fillId="0" borderId="28" xfId="0" applyFont="1" applyBorder="1" applyAlignment="1">
      <alignment vertical="center"/>
    </xf>
    <xf numFmtId="0" fontId="1" fillId="0" borderId="29" xfId="0" applyFont="1" applyBorder="1" applyAlignment="1">
      <alignment horizontal="center"/>
    </xf>
    <xf numFmtId="0" fontId="1" fillId="2" borderId="85" xfId="0" applyFont="1" applyFill="1" applyBorder="1"/>
    <xf numFmtId="167" fontId="18" fillId="12" borderId="16" xfId="0" applyNumberFormat="1" applyFont="1" applyFill="1" applyBorder="1" applyAlignment="1">
      <alignment horizontal="center"/>
    </xf>
    <xf numFmtId="0" fontId="10" fillId="0" borderId="0" xfId="0" applyFont="1" applyBorder="1"/>
    <xf numFmtId="0" fontId="13" fillId="5" borderId="88" xfId="0" applyFont="1" applyFill="1" applyBorder="1" applyAlignment="1">
      <alignment horizontal="center"/>
    </xf>
    <xf numFmtId="0" fontId="1" fillId="2" borderId="114" xfId="0" applyFont="1" applyFill="1" applyBorder="1"/>
    <xf numFmtId="0" fontId="18" fillId="0" borderId="10" xfId="0" applyFont="1" applyBorder="1" applyAlignment="1">
      <alignment horizontal="center"/>
    </xf>
    <xf numFmtId="167" fontId="1" fillId="0" borderId="27" xfId="0" applyNumberFormat="1" applyFont="1" applyBorder="1" applyAlignment="1">
      <alignment horizontal="center"/>
    </xf>
    <xf numFmtId="167" fontId="1" fillId="0" borderId="36" xfId="0" applyNumberFormat="1" applyFont="1" applyBorder="1" applyAlignment="1">
      <alignment horizontal="center"/>
    </xf>
    <xf numFmtId="167" fontId="18" fillId="12" borderId="63" xfId="0" applyNumberFormat="1" applyFont="1" applyFill="1" applyBorder="1" applyAlignment="1">
      <alignment horizontal="center"/>
    </xf>
    <xf numFmtId="0" fontId="18" fillId="5" borderId="73" xfId="0" applyFont="1" applyFill="1" applyBorder="1" applyAlignment="1">
      <alignment horizontal="center" vertical="center"/>
    </xf>
    <xf numFmtId="0" fontId="18" fillId="5" borderId="99" xfId="0" applyFont="1" applyFill="1" applyBorder="1" applyAlignment="1">
      <alignment horizontal="center" vertical="center"/>
    </xf>
    <xf numFmtId="0" fontId="18" fillId="5" borderId="36" xfId="0" applyFont="1" applyFill="1" applyBorder="1" applyAlignment="1">
      <alignment horizontal="center" vertical="center"/>
    </xf>
    <xf numFmtId="0" fontId="1" fillId="0" borderId="24" xfId="0" applyFont="1" applyBorder="1" applyAlignment="1">
      <alignment vertical="center"/>
    </xf>
    <xf numFmtId="0" fontId="1" fillId="0" borderId="24" xfId="0" applyFont="1" applyBorder="1" applyAlignment="1">
      <alignment horizontal="center"/>
    </xf>
    <xf numFmtId="167" fontId="1" fillId="0" borderId="24" xfId="0" applyNumberFormat="1" applyFont="1" applyBorder="1" applyAlignment="1">
      <alignment horizontal="center"/>
    </xf>
    <xf numFmtId="0" fontId="1" fillId="0" borderId="25" xfId="0" applyFont="1" applyBorder="1" applyAlignment="1">
      <alignment horizontal="center"/>
    </xf>
    <xf numFmtId="167" fontId="1" fillId="12" borderId="74" xfId="0" applyNumberFormat="1" applyFont="1" applyFill="1" applyBorder="1" applyAlignment="1">
      <alignment horizontal="center"/>
    </xf>
    <xf numFmtId="167" fontId="1" fillId="21" borderId="24" xfId="0" applyNumberFormat="1" applyFont="1" applyFill="1" applyBorder="1" applyAlignment="1">
      <alignment horizontal="center"/>
    </xf>
    <xf numFmtId="167" fontId="1" fillId="21" borderId="25" xfId="0" applyNumberFormat="1" applyFont="1" applyFill="1" applyBorder="1" applyAlignment="1">
      <alignment horizontal="center"/>
    </xf>
    <xf numFmtId="167" fontId="1" fillId="12" borderId="74" xfId="0" applyNumberFormat="1" applyFont="1" applyFill="1" applyBorder="1"/>
    <xf numFmtId="167" fontId="1" fillId="12" borderId="24" xfId="0" applyNumberFormat="1" applyFont="1" applyFill="1" applyBorder="1"/>
    <xf numFmtId="167" fontId="1" fillId="12" borderId="25" xfId="0" applyNumberFormat="1" applyFont="1" applyFill="1" applyBorder="1"/>
    <xf numFmtId="0" fontId="1" fillId="0" borderId="10" xfId="0" applyFont="1" applyBorder="1" applyAlignment="1">
      <alignment vertical="center"/>
    </xf>
    <xf numFmtId="0" fontId="1" fillId="0" borderId="27" xfId="0" applyFont="1" applyBorder="1" applyAlignment="1">
      <alignment horizontal="center"/>
    </xf>
    <xf numFmtId="167" fontId="1" fillId="21" borderId="13" xfId="0" applyNumberFormat="1" applyFont="1" applyFill="1" applyBorder="1" applyAlignment="1">
      <alignment horizontal="center"/>
    </xf>
    <xf numFmtId="167" fontId="1" fillId="12" borderId="10" xfId="0" applyNumberFormat="1" applyFont="1" applyFill="1" applyBorder="1" applyAlignment="1">
      <alignment horizontal="center"/>
    </xf>
    <xf numFmtId="167" fontId="1" fillId="21" borderId="10" xfId="0" applyNumberFormat="1" applyFont="1" applyFill="1" applyBorder="1" applyAlignment="1">
      <alignment horizontal="center"/>
    </xf>
    <xf numFmtId="167" fontId="1" fillId="21" borderId="27" xfId="0" applyNumberFormat="1" applyFont="1" applyFill="1" applyBorder="1" applyAlignment="1">
      <alignment horizontal="center"/>
    </xf>
    <xf numFmtId="167" fontId="1" fillId="21" borderId="13" xfId="0" applyNumberFormat="1" applyFont="1" applyFill="1" applyBorder="1"/>
    <xf numFmtId="167" fontId="1" fillId="12" borderId="10" xfId="0" applyNumberFormat="1" applyFont="1" applyFill="1" applyBorder="1"/>
    <xf numFmtId="167" fontId="1" fillId="12" borderId="27" xfId="0" applyNumberFormat="1" applyFont="1" applyFill="1" applyBorder="1"/>
    <xf numFmtId="167" fontId="1" fillId="21" borderId="10" xfId="0" applyNumberFormat="1" applyFont="1" applyFill="1" applyBorder="1"/>
    <xf numFmtId="0" fontId="1" fillId="0" borderId="29" xfId="0" applyFont="1" applyBorder="1" applyAlignment="1">
      <alignment vertical="center"/>
    </xf>
    <xf numFmtId="0" fontId="1" fillId="0" borderId="30" xfId="0" applyFont="1" applyBorder="1" applyAlignment="1">
      <alignment horizontal="center"/>
    </xf>
    <xf numFmtId="167" fontId="1" fillId="21" borderId="76" xfId="0" applyNumberFormat="1" applyFont="1" applyFill="1" applyBorder="1" applyAlignment="1">
      <alignment horizontal="center"/>
    </xf>
    <xf numFmtId="167" fontId="1" fillId="21" borderId="29" xfId="0" applyNumberFormat="1" applyFont="1" applyFill="1" applyBorder="1" applyAlignment="1">
      <alignment horizontal="center"/>
    </xf>
    <xf numFmtId="167" fontId="1" fillId="12" borderId="30" xfId="0" applyNumberFormat="1" applyFont="1" applyFill="1" applyBorder="1" applyAlignment="1">
      <alignment horizontal="center"/>
    </xf>
    <xf numFmtId="167" fontId="1" fillId="21" borderId="76" xfId="0" applyNumberFormat="1" applyFont="1" applyFill="1" applyBorder="1"/>
    <xf numFmtId="167" fontId="1" fillId="21" borderId="29" xfId="0" applyNumberFormat="1" applyFont="1" applyFill="1" applyBorder="1"/>
    <xf numFmtId="167" fontId="1" fillId="21" borderId="30" xfId="0" applyNumberFormat="1" applyFont="1" applyFill="1" applyBorder="1"/>
    <xf numFmtId="167" fontId="1" fillId="12" borderId="27" xfId="0" applyNumberFormat="1" applyFont="1" applyFill="1" applyBorder="1" applyAlignment="1">
      <alignment horizontal="center"/>
    </xf>
    <xf numFmtId="167" fontId="1" fillId="21" borderId="27" xfId="0" applyNumberFormat="1" applyFont="1" applyFill="1" applyBorder="1"/>
    <xf numFmtId="167" fontId="1" fillId="12" borderId="13" xfId="0" applyNumberFormat="1" applyFont="1" applyFill="1" applyBorder="1" applyAlignment="1">
      <alignment horizontal="center"/>
    </xf>
    <xf numFmtId="167" fontId="1" fillId="12" borderId="13" xfId="0" applyNumberFormat="1" applyFont="1" applyFill="1" applyBorder="1"/>
    <xf numFmtId="0" fontId="1" fillId="0" borderId="10" xfId="0" applyFont="1" applyBorder="1" applyAlignment="1">
      <alignment horizontal="center" vertical="center"/>
    </xf>
    <xf numFmtId="167" fontId="1" fillId="12" borderId="76" xfId="0" applyNumberFormat="1" applyFont="1" applyFill="1" applyBorder="1" applyAlignment="1">
      <alignment horizontal="center"/>
    </xf>
    <xf numFmtId="167" fontId="1" fillId="21" borderId="30" xfId="0" applyNumberFormat="1" applyFont="1" applyFill="1" applyBorder="1" applyAlignment="1">
      <alignment horizontal="center"/>
    </xf>
    <xf numFmtId="167" fontId="1" fillId="12" borderId="76" xfId="0" applyNumberFormat="1" applyFont="1" applyFill="1" applyBorder="1"/>
    <xf numFmtId="167" fontId="1" fillId="12" borderId="29" xfId="0" applyNumberFormat="1" applyFont="1" applyFill="1" applyBorder="1"/>
    <xf numFmtId="167" fontId="1" fillId="12" borderId="30" xfId="0" applyNumberFormat="1" applyFont="1" applyFill="1" applyBorder="1"/>
    <xf numFmtId="167" fontId="13" fillId="12" borderId="89" xfId="0" applyNumberFormat="1" applyFont="1" applyFill="1" applyBorder="1"/>
    <xf numFmtId="167" fontId="13" fillId="12" borderId="90" xfId="0" applyNumberFormat="1" applyFont="1" applyFill="1" applyBorder="1"/>
    <xf numFmtId="167" fontId="13" fillId="12" borderId="54" xfId="0" applyNumberFormat="1" applyFont="1" applyFill="1" applyBorder="1"/>
    <xf numFmtId="0" fontId="18" fillId="5" borderId="23" xfId="0" applyFont="1" applyFill="1" applyBorder="1" applyAlignment="1">
      <alignment horizontal="center"/>
    </xf>
    <xf numFmtId="0" fontId="18" fillId="5" borderId="24" xfId="0" applyFont="1" applyFill="1" applyBorder="1" applyAlignment="1">
      <alignment horizontal="center"/>
    </xf>
    <xf numFmtId="0" fontId="18" fillId="5" borderId="25" xfId="0" applyFont="1" applyFill="1" applyBorder="1" applyAlignment="1">
      <alignment horizontal="center"/>
    </xf>
    <xf numFmtId="0" fontId="1" fillId="2" borderId="115" xfId="0" applyFont="1" applyFill="1" applyBorder="1"/>
    <xf numFmtId="0" fontId="18" fillId="4" borderId="83" xfId="0" applyFont="1" applyFill="1" applyBorder="1"/>
    <xf numFmtId="167" fontId="1" fillId="2" borderId="46" xfId="0" applyNumberFormat="1" applyFont="1" applyFill="1" applyBorder="1" applyAlignment="1">
      <alignment horizontal="center"/>
    </xf>
    <xf numFmtId="167" fontId="1" fillId="2" borderId="82" xfId="0" applyNumberFormat="1" applyFont="1" applyFill="1" applyBorder="1" applyAlignment="1">
      <alignment horizontal="center"/>
    </xf>
    <xf numFmtId="167" fontId="1" fillId="2" borderId="49" xfId="0" applyNumberFormat="1" applyFont="1" applyFill="1" applyBorder="1" applyAlignment="1">
      <alignment horizontal="center"/>
    </xf>
    <xf numFmtId="0" fontId="18" fillId="5" borderId="89" xfId="0" applyFont="1" applyFill="1" applyBorder="1" applyAlignment="1">
      <alignment horizontal="center"/>
    </xf>
    <xf numFmtId="0" fontId="18" fillId="5" borderId="90" xfId="0" applyFont="1" applyFill="1" applyBorder="1" applyAlignment="1">
      <alignment horizontal="center"/>
    </xf>
    <xf numFmtId="0" fontId="18" fillId="5" borderId="54" xfId="0" applyFont="1" applyFill="1" applyBorder="1" applyAlignment="1">
      <alignment horizontal="center"/>
    </xf>
    <xf numFmtId="0" fontId="18" fillId="4" borderId="84" xfId="0" applyFont="1" applyFill="1" applyBorder="1"/>
    <xf numFmtId="167" fontId="1" fillId="2" borderId="26" xfId="0" applyNumberFormat="1" applyFont="1" applyFill="1" applyBorder="1" applyAlignment="1">
      <alignment horizontal="center"/>
    </xf>
    <xf numFmtId="167" fontId="1" fillId="2" borderId="27" xfId="0" applyNumberFormat="1" applyFont="1" applyFill="1" applyBorder="1" applyAlignment="1">
      <alignment horizontal="center"/>
    </xf>
    <xf numFmtId="0" fontId="1" fillId="0" borderId="74" xfId="0" applyFont="1" applyBorder="1" applyAlignment="1">
      <alignment horizontal="center"/>
    </xf>
    <xf numFmtId="167" fontId="1" fillId="0" borderId="25" xfId="0" applyNumberFormat="1" applyFont="1" applyBorder="1" applyAlignment="1">
      <alignment horizontal="center"/>
    </xf>
    <xf numFmtId="0" fontId="18" fillId="4" borderId="85" xfId="0" applyFont="1" applyFill="1" applyBorder="1"/>
    <xf numFmtId="0" fontId="1" fillId="0" borderId="27" xfId="0" applyFont="1" applyBorder="1"/>
    <xf numFmtId="0" fontId="1" fillId="0" borderId="13" xfId="0" applyFont="1" applyBorder="1" applyAlignment="1">
      <alignment horizontal="center"/>
    </xf>
    <xf numFmtId="0" fontId="1" fillId="0" borderId="36" xfId="0" applyFont="1" applyBorder="1"/>
    <xf numFmtId="0" fontId="1" fillId="0" borderId="73" xfId="0" applyFont="1" applyBorder="1" applyAlignment="1">
      <alignment horizontal="center"/>
    </xf>
    <xf numFmtId="0" fontId="1" fillId="16" borderId="89" xfId="0" applyFont="1" applyFill="1" applyBorder="1" applyAlignment="1">
      <alignment horizontal="center"/>
    </xf>
    <xf numFmtId="167" fontId="1" fillId="16" borderId="90" xfId="0" applyNumberFormat="1" applyFont="1" applyFill="1" applyBorder="1" applyAlignment="1">
      <alignment horizontal="center"/>
    </xf>
    <xf numFmtId="167" fontId="1" fillId="16" borderId="54" xfId="0" applyNumberFormat="1" applyFont="1" applyFill="1" applyBorder="1" applyAlignment="1">
      <alignment horizontal="center"/>
    </xf>
    <xf numFmtId="0" fontId="1" fillId="0" borderId="100" xfId="0" applyFont="1" applyBorder="1" applyAlignment="1">
      <alignment horizontal="center"/>
    </xf>
    <xf numFmtId="167" fontId="1" fillId="0" borderId="104" xfId="0" applyNumberFormat="1" applyFont="1" applyBorder="1" applyAlignment="1">
      <alignment horizontal="center"/>
    </xf>
    <xf numFmtId="167" fontId="1" fillId="0" borderId="70" xfId="0" applyNumberFormat="1" applyFont="1" applyBorder="1" applyAlignment="1">
      <alignment horizontal="center"/>
    </xf>
    <xf numFmtId="0" fontId="1" fillId="2" borderId="116" xfId="0" applyFont="1" applyFill="1" applyBorder="1"/>
    <xf numFmtId="0" fontId="1" fillId="0" borderId="78" xfId="0" applyFont="1" applyBorder="1" applyAlignment="1">
      <alignment horizontal="center"/>
    </xf>
    <xf numFmtId="167" fontId="1" fillId="0" borderId="79" xfId="0" applyNumberFormat="1" applyFont="1" applyBorder="1" applyAlignment="1">
      <alignment horizontal="center"/>
    </xf>
    <xf numFmtId="167" fontId="1" fillId="0" borderId="43" xfId="0" applyNumberFormat="1" applyFont="1" applyBorder="1" applyAlignment="1">
      <alignment horizontal="center"/>
    </xf>
    <xf numFmtId="167" fontId="1" fillId="0" borderId="95" xfId="0" applyNumberFormat="1" applyFont="1" applyBorder="1" applyAlignment="1">
      <alignment horizontal="center"/>
    </xf>
    <xf numFmtId="167" fontId="1" fillId="0" borderId="117" xfId="0" applyNumberFormat="1" applyFont="1" applyBorder="1" applyAlignment="1">
      <alignment horizontal="center"/>
    </xf>
    <xf numFmtId="167" fontId="1" fillId="0" borderId="118" xfId="0" applyNumberFormat="1" applyFont="1" applyBorder="1" applyAlignment="1">
      <alignment horizontal="center"/>
    </xf>
    <xf numFmtId="167" fontId="1" fillId="22" borderId="89" xfId="0" applyNumberFormat="1" applyFont="1" applyFill="1" applyBorder="1" applyAlignment="1">
      <alignment horizontal="center"/>
    </xf>
    <xf numFmtId="167" fontId="1" fillId="22" borderId="90" xfId="0" applyNumberFormat="1" applyFont="1" applyFill="1" applyBorder="1" applyAlignment="1">
      <alignment horizontal="center"/>
    </xf>
    <xf numFmtId="167" fontId="1" fillId="22" borderId="54" xfId="0" applyNumberFormat="1" applyFont="1" applyFill="1" applyBorder="1" applyAlignment="1">
      <alignment horizontal="center"/>
    </xf>
    <xf numFmtId="0" fontId="1" fillId="23" borderId="57" xfId="0" applyFont="1" applyFill="1" applyBorder="1" applyAlignment="1">
      <alignment horizontal="center"/>
    </xf>
    <xf numFmtId="167" fontId="1" fillId="23" borderId="10" xfId="0" applyNumberFormat="1" applyFont="1" applyFill="1" applyBorder="1" applyAlignment="1">
      <alignment horizontal="center"/>
    </xf>
    <xf numFmtId="167" fontId="1" fillId="23" borderId="27" xfId="0" applyNumberFormat="1" applyFont="1" applyFill="1" applyBorder="1" applyAlignment="1">
      <alignment horizontal="center"/>
    </xf>
    <xf numFmtId="0" fontId="1" fillId="2" borderId="28" xfId="0" applyFont="1" applyFill="1" applyBorder="1"/>
    <xf numFmtId="10" fontId="1" fillId="2" borderId="29" xfId="0" applyNumberFormat="1" applyFont="1" applyFill="1" applyBorder="1"/>
    <xf numFmtId="10" fontId="1" fillId="2" borderId="24" xfId="0" applyNumberFormat="1" applyFont="1" applyFill="1" applyBorder="1"/>
    <xf numFmtId="10" fontId="1" fillId="2" borderId="25" xfId="0" applyNumberFormat="1" applyFont="1" applyFill="1" applyBorder="1"/>
    <xf numFmtId="10" fontId="1" fillId="2" borderId="10" xfId="0" applyNumberFormat="1" applyFont="1" applyFill="1" applyBorder="1"/>
    <xf numFmtId="10" fontId="1" fillId="2" borderId="27" xfId="0" applyNumberFormat="1" applyFont="1" applyFill="1" applyBorder="1"/>
    <xf numFmtId="10" fontId="1" fillId="2" borderId="30" xfId="0" applyNumberFormat="1" applyFont="1" applyFill="1" applyBorder="1"/>
    <xf numFmtId="167" fontId="18" fillId="12" borderId="23" xfId="0" applyNumberFormat="1" applyFont="1" applyFill="1" applyBorder="1"/>
    <xf numFmtId="10" fontId="18" fillId="10" borderId="25" xfId="0" applyNumberFormat="1" applyFont="1" applyFill="1" applyBorder="1" applyAlignment="1">
      <alignment horizontal="center"/>
    </xf>
    <xf numFmtId="9" fontId="1" fillId="2" borderId="1" xfId="0" applyNumberFormat="1" applyFont="1" applyFill="1" applyBorder="1"/>
    <xf numFmtId="167" fontId="18" fillId="12" borderId="26" xfId="0" applyNumberFormat="1" applyFont="1" applyFill="1" applyBorder="1"/>
    <xf numFmtId="171" fontId="18" fillId="10" borderId="27" xfId="0" applyNumberFormat="1" applyFont="1" applyFill="1" applyBorder="1" applyAlignment="1">
      <alignment horizontal="center"/>
    </xf>
    <xf numFmtId="8" fontId="1" fillId="2" borderId="1" xfId="0" applyNumberFormat="1" applyFont="1" applyFill="1" applyBorder="1"/>
    <xf numFmtId="167" fontId="18" fillId="12" borderId="28" xfId="0" applyNumberFormat="1" applyFont="1" applyFill="1" applyBorder="1"/>
    <xf numFmtId="172" fontId="18" fillId="10" borderId="30" xfId="0" applyNumberFormat="1" applyFont="1" applyFill="1" applyBorder="1" applyAlignment="1">
      <alignment horizontal="center"/>
    </xf>
    <xf numFmtId="165" fontId="18" fillId="2" borderId="1" xfId="0" applyNumberFormat="1" applyFont="1" applyFill="1" applyBorder="1" applyAlignment="1">
      <alignment horizontal="center"/>
    </xf>
    <xf numFmtId="0" fontId="1" fillId="0" borderId="0" xfId="0" applyFont="1" applyBorder="1" applyAlignment="1">
      <alignment horizontal="left" vertical="center" wrapText="1"/>
    </xf>
    <xf numFmtId="0" fontId="26" fillId="0" borderId="0" xfId="0" applyFont="1" applyBorder="1" applyAlignment="1">
      <alignment horizontal="left" vertical="center" wrapText="1"/>
    </xf>
    <xf numFmtId="0" fontId="27" fillId="0" borderId="0" xfId="0" applyFont="1" applyBorder="1" applyAlignment="1">
      <alignment horizontal="left" vertical="center" wrapText="1"/>
    </xf>
    <xf numFmtId="0" fontId="1" fillId="0" borderId="0" xfId="0" applyFont="1" applyBorder="1" applyAlignment="1">
      <alignment vertical="center"/>
    </xf>
    <xf numFmtId="0" fontId="27" fillId="0" borderId="0" xfId="0" applyFont="1" applyBorder="1" applyAlignment="1">
      <alignment vertical="center"/>
    </xf>
    <xf numFmtId="0" fontId="28" fillId="0" borderId="0" xfId="0" applyFont="1" applyBorder="1" applyAlignment="1">
      <alignment vertical="center"/>
    </xf>
    <xf numFmtId="0" fontId="29" fillId="0" borderId="14" xfId="0" applyFont="1" applyBorder="1" applyAlignment="1">
      <alignment horizontal="center" wrapText="1"/>
    </xf>
    <xf numFmtId="0" fontId="29" fillId="0" borderId="63" xfId="0" applyFont="1" applyBorder="1" applyAlignment="1">
      <alignment horizontal="center" wrapText="1"/>
    </xf>
    <xf numFmtId="0" fontId="29" fillId="0" borderId="15" xfId="0" applyFont="1" applyBorder="1" applyAlignment="1">
      <alignment horizontal="center" wrapText="1"/>
    </xf>
    <xf numFmtId="0" fontId="29" fillId="0" borderId="63" xfId="0" applyFont="1" applyBorder="1" applyAlignment="1">
      <alignment horizontal="center" vertical="center" wrapText="1"/>
    </xf>
    <xf numFmtId="0" fontId="29" fillId="0" borderId="15" xfId="0" applyFont="1" applyBorder="1" applyAlignment="1">
      <alignment horizontal="center" vertical="center" wrapText="1"/>
    </xf>
    <xf numFmtId="0" fontId="29" fillId="0" borderId="63" xfId="0" applyFont="1" applyBorder="1" applyAlignment="1">
      <alignment vertical="center" wrapText="1"/>
    </xf>
    <xf numFmtId="0" fontId="29" fillId="25" borderId="16" xfId="0" applyFont="1" applyFill="1" applyBorder="1" applyAlignment="1">
      <alignment horizontal="center" vertical="center" wrapText="1"/>
    </xf>
    <xf numFmtId="0" fontId="29" fillId="11" borderId="63"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63" xfId="0" applyFont="1" applyFill="1" applyBorder="1" applyAlignment="1">
      <alignment horizontal="center" vertical="center" wrapText="1"/>
    </xf>
    <xf numFmtId="0" fontId="29" fillId="26" borderId="16" xfId="0" applyFont="1" applyFill="1" applyBorder="1" applyAlignment="1">
      <alignment horizontal="center" vertical="center" wrapText="1"/>
    </xf>
    <xf numFmtId="0" fontId="30" fillId="0" borderId="10" xfId="0" applyFont="1" applyBorder="1" applyAlignment="1">
      <alignment horizontal="left" vertical="center" wrapText="1"/>
    </xf>
    <xf numFmtId="0" fontId="1" fillId="25" borderId="10" xfId="0" applyFont="1" applyFill="1" applyBorder="1"/>
    <xf numFmtId="0" fontId="29" fillId="25" borderId="63" xfId="0" applyFont="1" applyFill="1" applyBorder="1" applyAlignment="1">
      <alignment horizontal="center" vertical="center" wrapText="1"/>
    </xf>
    <xf numFmtId="0" fontId="1" fillId="11" borderId="10" xfId="0" applyFont="1" applyFill="1" applyBorder="1"/>
    <xf numFmtId="0" fontId="1" fillId="3" borderId="10" xfId="0" applyFont="1" applyFill="1" applyBorder="1"/>
    <xf numFmtId="0" fontId="1" fillId="26" borderId="10" xfId="0" applyFont="1" applyFill="1" applyBorder="1"/>
    <xf numFmtId="0" fontId="25" fillId="3" borderId="10" xfId="0" applyFont="1" applyFill="1" applyBorder="1" applyAlignment="1">
      <alignment vertical="center" wrapText="1"/>
    </xf>
    <xf numFmtId="0" fontId="27" fillId="0" borderId="10" xfId="0" applyFont="1" applyBorder="1" applyAlignment="1">
      <alignment horizontal="left" vertical="center" wrapText="1"/>
    </xf>
    <xf numFmtId="0" fontId="18" fillId="0" borderId="0" xfId="0" applyFont="1" applyBorder="1"/>
    <xf numFmtId="0" fontId="1" fillId="0" borderId="7" xfId="0" applyFont="1" applyBorder="1" applyAlignment="1">
      <alignment horizontal="center"/>
    </xf>
    <xf numFmtId="167" fontId="1" fillId="14" borderId="10" xfId="0" applyNumberFormat="1" applyFont="1" applyFill="1" applyBorder="1" applyAlignment="1">
      <alignment horizontal="center"/>
    </xf>
    <xf numFmtId="9" fontId="31" fillId="18" borderId="1" xfId="0" applyNumberFormat="1" applyFont="1" applyFill="1" applyBorder="1"/>
    <xf numFmtId="0" fontId="1" fillId="12" borderId="89" xfId="0" applyFont="1" applyFill="1" applyBorder="1" applyAlignment="1">
      <alignment horizontal="center"/>
    </xf>
    <xf numFmtId="167" fontId="1" fillId="12" borderId="90" xfId="0" applyNumberFormat="1" applyFont="1" applyFill="1" applyBorder="1" applyAlignment="1">
      <alignment horizontal="center"/>
    </xf>
    <xf numFmtId="0" fontId="1" fillId="0" borderId="68" xfId="0" applyFont="1" applyBorder="1"/>
    <xf numFmtId="9" fontId="1" fillId="0" borderId="69" xfId="0" applyNumberFormat="1" applyFont="1" applyBorder="1"/>
    <xf numFmtId="167" fontId="1" fillId="0" borderId="82" xfId="0" applyNumberFormat="1" applyFont="1" applyBorder="1" applyAlignment="1">
      <alignment horizontal="center"/>
    </xf>
    <xf numFmtId="167" fontId="1" fillId="0" borderId="49" xfId="0" applyNumberFormat="1" applyFont="1" applyBorder="1" applyAlignment="1">
      <alignment horizontal="center"/>
    </xf>
    <xf numFmtId="167" fontId="1" fillId="0" borderId="99" xfId="0" applyNumberFormat="1" applyFont="1" applyBorder="1" applyAlignment="1">
      <alignment horizontal="center"/>
    </xf>
    <xf numFmtId="167" fontId="1" fillId="18" borderId="21" xfId="0" applyNumberFormat="1" applyFont="1" applyFill="1" applyBorder="1" applyAlignment="1">
      <alignment horizontal="center"/>
    </xf>
    <xf numFmtId="167" fontId="1" fillId="25" borderId="89" xfId="0" applyNumberFormat="1" applyFont="1" applyFill="1" applyBorder="1" applyAlignment="1">
      <alignment horizontal="center"/>
    </xf>
    <xf numFmtId="167" fontId="1" fillId="25" borderId="90" xfId="0" applyNumberFormat="1" applyFont="1" applyFill="1" applyBorder="1" applyAlignment="1">
      <alignment horizontal="center"/>
    </xf>
    <xf numFmtId="173" fontId="18" fillId="10" borderId="25" xfId="0" applyNumberFormat="1" applyFont="1" applyFill="1" applyBorder="1" applyAlignment="1">
      <alignment horizontal="center"/>
    </xf>
    <xf numFmtId="10" fontId="18" fillId="10" borderId="30" xfId="0" applyNumberFormat="1" applyFont="1" applyFill="1" applyBorder="1" applyAlignment="1">
      <alignment horizontal="center"/>
    </xf>
    <xf numFmtId="167" fontId="1" fillId="18" borderId="10" xfId="0" applyNumberFormat="1" applyFont="1" applyFill="1" applyBorder="1" applyAlignment="1">
      <alignment horizontal="center"/>
    </xf>
    <xf numFmtId="167" fontId="1" fillId="27" borderId="10" xfId="0" applyNumberFormat="1" applyFont="1" applyFill="1" applyBorder="1" applyAlignment="1">
      <alignment horizontal="center"/>
    </xf>
    <xf numFmtId="0" fontId="13" fillId="5" borderId="80" xfId="0" applyFont="1" applyFill="1" applyBorder="1" applyAlignment="1">
      <alignment horizontal="center" vertical="center"/>
    </xf>
    <xf numFmtId="0" fontId="13" fillId="5" borderId="82" xfId="0" applyFont="1" applyFill="1" applyBorder="1" applyAlignment="1">
      <alignment horizontal="center" vertical="center"/>
    </xf>
    <xf numFmtId="0" fontId="34" fillId="28" borderId="0" xfId="0" applyFont="1" applyFill="1" applyBorder="1" applyAlignment="1">
      <alignment horizontal="center" vertical="center"/>
    </xf>
    <xf numFmtId="0" fontId="35" fillId="29" borderId="123" xfId="0" applyFont="1" applyFill="1" applyBorder="1" applyAlignment="1">
      <alignment horizontal="center" vertical="center"/>
    </xf>
    <xf numFmtId="0" fontId="36" fillId="30" borderId="124" xfId="0" applyFont="1" applyFill="1" applyBorder="1" applyAlignment="1">
      <alignment horizontal="left" vertical="center" wrapText="1"/>
    </xf>
    <xf numFmtId="0" fontId="36" fillId="31" borderId="124" xfId="0" applyFont="1" applyFill="1" applyBorder="1" applyAlignment="1">
      <alignment horizontal="center" vertical="center" wrapText="1"/>
    </xf>
    <xf numFmtId="0" fontId="36" fillId="34" borderId="124" xfId="0" applyFont="1" applyFill="1" applyBorder="1" applyAlignment="1">
      <alignment horizontal="center" vertical="center" wrapText="1"/>
    </xf>
    <xf numFmtId="0" fontId="36" fillId="33" borderId="124" xfId="0" applyFont="1" applyFill="1" applyBorder="1" applyAlignment="1">
      <alignment horizontal="center" vertical="center" wrapText="1"/>
    </xf>
    <xf numFmtId="0" fontId="36" fillId="32" borderId="124" xfId="0" applyFont="1" applyFill="1" applyBorder="1" applyAlignment="1">
      <alignment horizontal="center" vertical="center" wrapText="1"/>
    </xf>
    <xf numFmtId="0" fontId="36" fillId="35" borderId="124" xfId="0" applyFont="1" applyFill="1" applyBorder="1" applyAlignment="1">
      <alignment horizontal="center" vertical="center" wrapText="1"/>
    </xf>
    <xf numFmtId="0" fontId="36" fillId="34" borderId="124" xfId="0" applyFont="1" applyFill="1" applyBorder="1" applyAlignment="1">
      <alignment horizontal="left" vertical="center" wrapText="1"/>
    </xf>
    <xf numFmtId="0" fontId="36" fillId="33" borderId="124" xfId="0" applyFont="1" applyFill="1" applyBorder="1" applyAlignment="1">
      <alignment horizontal="left" vertical="center" wrapText="1"/>
    </xf>
    <xf numFmtId="0" fontId="36" fillId="32" borderId="124" xfId="0" applyFont="1" applyFill="1" applyBorder="1" applyAlignment="1">
      <alignment horizontal="left" vertical="center" wrapText="1"/>
    </xf>
    <xf numFmtId="0" fontId="36" fillId="35" borderId="124" xfId="0" applyFont="1" applyFill="1" applyBorder="1" applyAlignment="1">
      <alignment horizontal="left" vertical="center" wrapText="1"/>
    </xf>
    <xf numFmtId="168" fontId="36" fillId="7" borderId="23" xfId="0" applyNumberFormat="1" applyFont="1" applyFill="1" applyBorder="1"/>
    <xf numFmtId="165" fontId="37" fillId="17" borderId="24" xfId="0" applyNumberFormat="1" applyFont="1" applyFill="1" applyBorder="1" applyAlignment="1">
      <alignment wrapText="1"/>
    </xf>
    <xf numFmtId="0" fontId="34" fillId="28" borderId="1" xfId="0" applyFont="1" applyFill="1" applyBorder="1" applyAlignment="1">
      <alignment horizontal="center" vertical="center"/>
    </xf>
    <xf numFmtId="0" fontId="38" fillId="29" borderId="123" xfId="0" applyFont="1" applyFill="1" applyBorder="1" applyAlignment="1">
      <alignment horizontal="center" vertical="center"/>
    </xf>
    <xf numFmtId="0" fontId="37" fillId="31" borderId="124" xfId="0" applyFont="1" applyFill="1" applyBorder="1" applyAlignment="1">
      <alignment horizontal="center" vertical="center" wrapText="1"/>
    </xf>
    <xf numFmtId="10" fontId="39" fillId="30" borderId="124" xfId="0" applyNumberFormat="1" applyFont="1" applyFill="1" applyBorder="1" applyAlignment="1">
      <alignment horizontal="center" vertical="center"/>
    </xf>
    <xf numFmtId="166" fontId="37" fillId="30" borderId="124" xfId="0" applyNumberFormat="1" applyFont="1" applyFill="1" applyBorder="1" applyAlignment="1">
      <alignment horizontal="center" vertical="center"/>
    </xf>
    <xf numFmtId="166" fontId="39" fillId="30" borderId="124" xfId="0" applyNumberFormat="1" applyFont="1" applyFill="1" applyBorder="1" applyAlignment="1">
      <alignment horizontal="center" vertical="center"/>
    </xf>
    <xf numFmtId="0" fontId="39" fillId="30" borderId="124" xfId="0" applyFont="1" applyFill="1" applyBorder="1" applyAlignment="1">
      <alignment horizontal="left" vertical="center"/>
    </xf>
    <xf numFmtId="166" fontId="37" fillId="36" borderId="124" xfId="0" applyNumberFormat="1" applyFont="1" applyFill="1" applyBorder="1" applyAlignment="1">
      <alignment horizontal="center" vertical="center"/>
    </xf>
    <xf numFmtId="0" fontId="39" fillId="37" borderId="124" xfId="0" applyFont="1" applyFill="1" applyBorder="1" applyAlignment="1">
      <alignment horizontal="left" vertical="center"/>
    </xf>
    <xf numFmtId="0" fontId="37" fillId="31" borderId="124" xfId="0" applyFont="1" applyFill="1" applyBorder="1" applyAlignment="1">
      <alignment horizontal="left" vertical="center"/>
    </xf>
    <xf numFmtId="0" fontId="39" fillId="31" borderId="124" xfId="0" applyFont="1" applyFill="1" applyBorder="1" applyAlignment="1">
      <alignment horizontal="center" vertical="center"/>
    </xf>
    <xf numFmtId="166" fontId="37" fillId="31" borderId="124" xfId="0" applyNumberFormat="1" applyFont="1" applyFill="1" applyBorder="1" applyAlignment="1">
      <alignment horizontal="center" vertical="center"/>
    </xf>
    <xf numFmtId="0" fontId="37" fillId="37" borderId="124" xfId="0" applyFont="1" applyFill="1" applyBorder="1" applyAlignment="1">
      <alignment horizontal="center" vertical="center" wrapText="1"/>
    </xf>
    <xf numFmtId="166" fontId="39" fillId="36" borderId="124" xfId="0" applyNumberFormat="1" applyFont="1" applyFill="1" applyBorder="1" applyAlignment="1">
      <alignment horizontal="center" vertical="center"/>
    </xf>
    <xf numFmtId="3" fontId="39" fillId="30" borderId="124" xfId="0" applyNumberFormat="1" applyFont="1" applyFill="1" applyBorder="1" applyAlignment="1">
      <alignment horizontal="center" vertical="center"/>
    </xf>
    <xf numFmtId="1" fontId="39" fillId="31" borderId="124" xfId="0" applyNumberFormat="1" applyFont="1" applyFill="1" applyBorder="1" applyAlignment="1">
      <alignment horizontal="center" vertical="center"/>
    </xf>
    <xf numFmtId="0" fontId="39" fillId="36" borderId="124" xfId="0" applyFont="1" applyFill="1" applyBorder="1" applyAlignment="1">
      <alignment horizontal="left" vertical="center"/>
    </xf>
    <xf numFmtId="0" fontId="39" fillId="36" borderId="124" xfId="0" applyFont="1" applyFill="1" applyBorder="1" applyAlignment="1">
      <alignment horizontal="center" vertical="center"/>
    </xf>
    <xf numFmtId="10" fontId="39" fillId="36" borderId="124" xfId="0" applyNumberFormat="1" applyFont="1" applyFill="1" applyBorder="1" applyAlignment="1">
      <alignment horizontal="center" vertical="center"/>
    </xf>
    <xf numFmtId="165" fontId="37" fillId="31" borderId="124" xfId="0" applyNumberFormat="1" applyFont="1" applyFill="1" applyBorder="1" applyAlignment="1">
      <alignment horizontal="center" vertical="center" wrapText="1"/>
    </xf>
    <xf numFmtId="3" fontId="37" fillId="36" borderId="124" xfId="0" applyNumberFormat="1" applyFont="1" applyFill="1" applyBorder="1" applyAlignment="1">
      <alignment horizontal="center" vertical="center"/>
    </xf>
    <xf numFmtId="3" fontId="37" fillId="31" borderId="124" xfId="0" applyNumberFormat="1" applyFont="1" applyFill="1" applyBorder="1" applyAlignment="1">
      <alignment horizontal="center" vertical="center"/>
    </xf>
    <xf numFmtId="0" fontId="37" fillId="36" borderId="124" xfId="0" applyFont="1" applyFill="1" applyBorder="1" applyAlignment="1">
      <alignment horizontal="left" vertical="center"/>
    </xf>
    <xf numFmtId="0" fontId="37" fillId="29" borderId="124" xfId="0" applyFont="1" applyFill="1" applyBorder="1" applyAlignment="1">
      <alignment horizontal="left" vertical="center"/>
    </xf>
    <xf numFmtId="166" fontId="37" fillId="29" borderId="124" xfId="0" applyNumberFormat="1" applyFont="1" applyFill="1" applyBorder="1" applyAlignment="1">
      <alignment horizontal="center" vertical="center"/>
    </xf>
    <xf numFmtId="10" fontId="39" fillId="37" borderId="124" xfId="0" applyNumberFormat="1" applyFont="1" applyFill="1" applyBorder="1" applyAlignment="1">
      <alignment horizontal="center" vertical="center"/>
    </xf>
    <xf numFmtId="0" fontId="36" fillId="30" borderId="124" xfId="0" applyFont="1" applyFill="1" applyBorder="1" applyAlignment="1">
      <alignment horizontal="left" vertical="top" wrapText="1"/>
    </xf>
    <xf numFmtId="0" fontId="36" fillId="38" borderId="133" xfId="0" applyFont="1" applyFill="1" applyBorder="1" applyAlignment="1">
      <alignment horizontal="center" vertical="center" wrapText="1"/>
    </xf>
    <xf numFmtId="0" fontId="39" fillId="30" borderId="133" xfId="0" applyFont="1" applyFill="1" applyBorder="1" applyAlignment="1">
      <alignment horizontal="center" vertical="center" wrapText="1"/>
    </xf>
    <xf numFmtId="0" fontId="39" fillId="39" borderId="133" xfId="0" applyFont="1" applyFill="1" applyBorder="1" applyAlignment="1">
      <alignment horizontal="center" vertical="center" wrapText="1"/>
    </xf>
    <xf numFmtId="0" fontId="13" fillId="7" borderId="23" xfId="0" applyFont="1" applyFill="1" applyBorder="1" applyAlignment="1">
      <alignment horizontal="left" vertical="center" wrapText="1"/>
    </xf>
    <xf numFmtId="166" fontId="13" fillId="7" borderId="24" xfId="0" applyNumberFormat="1" applyFont="1" applyFill="1" applyBorder="1" applyAlignment="1">
      <alignment horizontal="center" vertical="center" wrapText="1"/>
    </xf>
    <xf numFmtId="0" fontId="1" fillId="7" borderId="25" xfId="0" applyFont="1" applyFill="1" applyBorder="1" applyAlignment="1">
      <alignment horizontal="left" vertical="center" wrapText="1"/>
    </xf>
    <xf numFmtId="0" fontId="13" fillId="7" borderId="26" xfId="0" applyFont="1" applyFill="1" applyBorder="1" applyAlignment="1">
      <alignment horizontal="left" vertical="center" wrapText="1"/>
    </xf>
    <xf numFmtId="166" fontId="13" fillId="7" borderId="10" xfId="0" applyNumberFormat="1" applyFont="1" applyFill="1" applyBorder="1" applyAlignment="1">
      <alignment horizontal="center" vertical="center" wrapText="1"/>
    </xf>
    <xf numFmtId="0" fontId="1" fillId="7" borderId="27" xfId="0" applyFont="1" applyFill="1" applyBorder="1" applyAlignment="1">
      <alignment horizontal="left" vertical="center" wrapText="1"/>
    </xf>
    <xf numFmtId="0" fontId="13" fillId="7" borderId="28" xfId="0" applyFont="1" applyFill="1" applyBorder="1" applyAlignment="1">
      <alignment horizontal="left" vertical="center" wrapText="1"/>
    </xf>
    <xf numFmtId="166" fontId="13" fillId="7" borderId="29" xfId="0" applyNumberFormat="1" applyFont="1" applyFill="1" applyBorder="1" applyAlignment="1">
      <alignment horizontal="center" vertical="center" wrapText="1"/>
    </xf>
    <xf numFmtId="0" fontId="1" fillId="7" borderId="30" xfId="0" applyFont="1" applyFill="1" applyBorder="1" applyAlignment="1">
      <alignment horizontal="left" vertical="center" wrapText="1"/>
    </xf>
    <xf numFmtId="0" fontId="13" fillId="8" borderId="23" xfId="0" applyFont="1" applyFill="1" applyBorder="1" applyAlignment="1">
      <alignment horizontal="left" vertical="center" wrapText="1"/>
    </xf>
    <xf numFmtId="166" fontId="13" fillId="8" borderId="24" xfId="0" applyNumberFormat="1" applyFont="1" applyFill="1" applyBorder="1" applyAlignment="1">
      <alignment horizontal="center" vertical="center" wrapText="1"/>
    </xf>
    <xf numFmtId="0" fontId="1" fillId="8" borderId="25" xfId="0" applyFont="1" applyFill="1" applyBorder="1" applyAlignment="1">
      <alignment horizontal="left" vertical="center" wrapText="1"/>
    </xf>
    <xf numFmtId="166" fontId="13" fillId="8" borderId="10" xfId="0" applyNumberFormat="1" applyFont="1" applyFill="1" applyBorder="1" applyAlignment="1">
      <alignment horizontal="center" vertical="center" wrapText="1"/>
    </xf>
    <xf numFmtId="0" fontId="38" fillId="31" borderId="124" xfId="0" applyFont="1" applyFill="1" applyBorder="1" applyAlignment="1">
      <alignment horizontal="center" vertical="center" wrapText="1"/>
    </xf>
    <xf numFmtId="0" fontId="38" fillId="34" borderId="124" xfId="0" applyFont="1" applyFill="1" applyBorder="1" applyAlignment="1">
      <alignment horizontal="center" vertical="center" wrapText="1"/>
    </xf>
    <xf numFmtId="0" fontId="38" fillId="33" borderId="124" xfId="0" applyFont="1" applyFill="1" applyBorder="1" applyAlignment="1">
      <alignment horizontal="center" vertical="center" wrapText="1"/>
    </xf>
    <xf numFmtId="0" fontId="38" fillId="32" borderId="124" xfId="0" applyFont="1" applyFill="1" applyBorder="1" applyAlignment="1">
      <alignment horizontal="center" vertical="center" wrapText="1"/>
    </xf>
    <xf numFmtId="0" fontId="38" fillId="35" borderId="124" xfId="0" applyFont="1" applyFill="1" applyBorder="1" applyAlignment="1">
      <alignment horizontal="center" vertical="center" wrapText="1"/>
    </xf>
    <xf numFmtId="0" fontId="1" fillId="3" borderId="134" xfId="0" applyFont="1" applyFill="1"/>
    <xf numFmtId="0" fontId="1" fillId="3" borderId="134" xfId="0" applyFont="1" applyFill="1" applyAlignment="1">
      <alignment wrapText="1"/>
    </xf>
    <xf numFmtId="0" fontId="8" fillId="3" borderId="134" xfId="0" applyFont="1" applyFill="1" applyAlignment="1">
      <alignment vertical="center"/>
    </xf>
    <xf numFmtId="0" fontId="1" fillId="2" borderId="134" xfId="0" applyFont="1" applyFill="1"/>
    <xf numFmtId="0" fontId="0" fillId="0" borderId="134" xfId="0"/>
    <xf numFmtId="0" fontId="1" fillId="2" borderId="134" xfId="0" applyFont="1" applyFill="1" applyAlignment="1">
      <alignment wrapText="1"/>
    </xf>
    <xf numFmtId="174" fontId="1" fillId="2" borderId="134" xfId="0" applyNumberFormat="1" applyFont="1" applyFill="1"/>
    <xf numFmtId="0" fontId="10" fillId="2" borderId="134" xfId="0" applyFont="1" applyFill="1"/>
    <xf numFmtId="0" fontId="1" fillId="2" borderId="10" xfId="0" applyFont="1" applyFill="1" applyBorder="1" applyAlignment="1">
      <alignment wrapText="1"/>
    </xf>
    <xf numFmtId="0" fontId="1" fillId="2" borderId="10" xfId="0" applyFont="1" applyFill="1" applyBorder="1" applyAlignment="1">
      <alignment horizontal="center" wrapText="1"/>
    </xf>
    <xf numFmtId="0" fontId="1" fillId="7" borderId="25" xfId="0" applyFont="1" applyFill="1" applyBorder="1" applyAlignment="1">
      <alignment wrapText="1"/>
    </xf>
    <xf numFmtId="0" fontId="1" fillId="2" borderId="99" xfId="0" applyFont="1" applyFill="1" applyBorder="1" applyAlignment="1">
      <alignment wrapText="1"/>
    </xf>
    <xf numFmtId="0" fontId="1" fillId="2" borderId="99" xfId="0" applyFont="1" applyFill="1" applyBorder="1" applyAlignment="1">
      <alignment horizontal="center" wrapText="1"/>
    </xf>
    <xf numFmtId="0" fontId="1" fillId="2" borderId="99" xfId="0" applyFont="1" applyFill="1" applyBorder="1"/>
    <xf numFmtId="0" fontId="1" fillId="7" borderId="27" xfId="0" applyFont="1" applyFill="1" applyBorder="1" applyAlignment="1">
      <alignment wrapText="1"/>
    </xf>
    <xf numFmtId="0" fontId="18" fillId="2" borderId="78" xfId="0" applyFont="1" applyFill="1" applyBorder="1" applyAlignment="1">
      <alignment horizontal="center" vertical="center" wrapText="1"/>
    </xf>
    <xf numFmtId="0" fontId="1" fillId="7" borderId="30" xfId="0" applyFont="1" applyFill="1" applyBorder="1" applyAlignment="1">
      <alignment wrapText="1"/>
    </xf>
    <xf numFmtId="0" fontId="18" fillId="12" borderId="53" xfId="0" applyFont="1" applyFill="1" applyBorder="1" applyAlignment="1">
      <alignment horizontal="center" vertical="center" wrapText="1"/>
    </xf>
    <xf numFmtId="0" fontId="18" fillId="12" borderId="54" xfId="0" applyFont="1" applyFill="1" applyBorder="1" applyAlignment="1">
      <alignment horizontal="center" vertical="center" wrapText="1"/>
    </xf>
    <xf numFmtId="0" fontId="1" fillId="2" borderId="134" xfId="0" applyFont="1" applyFill="1" applyAlignment="1">
      <alignment horizontal="center" vertical="center" wrapText="1"/>
    </xf>
    <xf numFmtId="0" fontId="18" fillId="2" borderId="134" xfId="0" applyFont="1" applyFill="1" applyAlignment="1">
      <alignment horizontal="center" vertical="center" wrapText="1"/>
    </xf>
    <xf numFmtId="0" fontId="18" fillId="2" borderId="134" xfId="0" applyFont="1" applyFill="1" applyAlignment="1">
      <alignment horizontal="center" wrapText="1"/>
    </xf>
    <xf numFmtId="0" fontId="1" fillId="13" borderId="134" xfId="0" applyFont="1" applyFill="1" applyAlignment="1">
      <alignment horizontal="center" vertical="center" wrapText="1"/>
    </xf>
    <xf numFmtId="0" fontId="18" fillId="13" borderId="134" xfId="0" applyFont="1" applyFill="1" applyAlignment="1">
      <alignment horizontal="center" vertical="center" wrapText="1"/>
    </xf>
    <xf numFmtId="0" fontId="18" fillId="13" borderId="134" xfId="0" applyFont="1" applyFill="1" applyAlignment="1">
      <alignment horizontal="center" wrapText="1"/>
    </xf>
    <xf numFmtId="0" fontId="1" fillId="13" borderId="134" xfId="0" applyFont="1" applyFill="1"/>
    <xf numFmtId="0" fontId="1" fillId="2" borderId="134" xfId="0" applyFont="1" applyFill="1" applyAlignment="1">
      <alignment horizontal="center"/>
    </xf>
    <xf numFmtId="0" fontId="18" fillId="4" borderId="50" xfId="0" applyFont="1" applyFill="1" applyBorder="1" applyAlignment="1">
      <alignment horizontal="center" vertical="center" wrapText="1"/>
    </xf>
    <xf numFmtId="0" fontId="18" fillId="4" borderId="79" xfId="0" applyFont="1" applyFill="1" applyBorder="1" applyAlignment="1">
      <alignment horizontal="center" vertical="center" wrapText="1"/>
    </xf>
    <xf numFmtId="0" fontId="18" fillId="4" borderId="52" xfId="0" applyFont="1" applyFill="1" applyBorder="1" applyAlignment="1">
      <alignment horizontal="center" vertical="center" wrapText="1"/>
    </xf>
    <xf numFmtId="0" fontId="18" fillId="15" borderId="50" xfId="0" applyFont="1" applyFill="1" applyBorder="1" applyAlignment="1">
      <alignment horizontal="center" vertical="center" wrapText="1"/>
    </xf>
    <xf numFmtId="0" fontId="18" fillId="15" borderId="79" xfId="0" applyFont="1" applyFill="1" applyBorder="1" applyAlignment="1">
      <alignment horizontal="center" vertical="center" wrapText="1"/>
    </xf>
    <xf numFmtId="0" fontId="18" fillId="15" borderId="52" xfId="0" applyFont="1" applyFill="1" applyBorder="1" applyAlignment="1">
      <alignment horizontal="center" vertical="center" wrapText="1"/>
    </xf>
    <xf numFmtId="0" fontId="18" fillId="16" borderId="79" xfId="0" applyFont="1" applyFill="1" applyBorder="1"/>
    <xf numFmtId="0" fontId="18" fillId="16" borderId="137" xfId="0" applyFont="1" applyFill="1" applyBorder="1"/>
    <xf numFmtId="0" fontId="1" fillId="2" borderId="23" xfId="0" applyFont="1" applyFill="1" applyBorder="1" applyAlignment="1">
      <alignment horizontal="center" vertical="center"/>
    </xf>
    <xf numFmtId="0" fontId="1" fillId="2" borderId="24" xfId="0" applyFont="1" applyFill="1" applyBorder="1" applyAlignment="1">
      <alignment horizontal="left" vertical="center"/>
    </xf>
    <xf numFmtId="0" fontId="1" fillId="2" borderId="25" xfId="0" applyFont="1" applyFill="1" applyBorder="1" applyAlignment="1">
      <alignment horizontal="center" vertical="center"/>
    </xf>
    <xf numFmtId="175" fontId="1" fillId="2" borderId="24" xfId="0" applyNumberFormat="1" applyFont="1" applyFill="1" applyBorder="1"/>
    <xf numFmtId="175" fontId="1" fillId="2" borderId="138" xfId="0" applyNumberFormat="1" applyFont="1" applyFill="1" applyBorder="1"/>
    <xf numFmtId="2" fontId="1" fillId="2" borderId="24" xfId="0" applyNumberFormat="1" applyFont="1" applyFill="1" applyBorder="1"/>
    <xf numFmtId="174" fontId="1" fillId="2" borderId="24" xfId="0" applyNumberFormat="1" applyFont="1" applyFill="1" applyBorder="1"/>
    <xf numFmtId="174" fontId="1" fillId="2" borderId="138" xfId="0" applyNumberFormat="1" applyFont="1" applyFill="1" applyBorder="1"/>
    <xf numFmtId="0" fontId="1" fillId="2" borderId="80" xfId="0" applyFont="1" applyFill="1" applyBorder="1" applyAlignment="1">
      <alignment horizontal="center" vertical="center"/>
    </xf>
    <xf numFmtId="0" fontId="1" fillId="2" borderId="82" xfId="0" applyFont="1" applyFill="1" applyBorder="1" applyAlignment="1">
      <alignment vertical="center" wrapText="1"/>
    </xf>
    <xf numFmtId="0" fontId="1" fillId="2" borderId="82" xfId="0" applyFont="1" applyFill="1" applyBorder="1" applyAlignment="1">
      <alignment horizontal="center" vertical="center"/>
    </xf>
    <xf numFmtId="0" fontId="1" fillId="2" borderId="139" xfId="0" applyFont="1" applyFill="1" applyBorder="1"/>
    <xf numFmtId="175" fontId="1" fillId="2" borderId="10" xfId="0" applyNumberFormat="1" applyFont="1" applyFill="1" applyBorder="1"/>
    <xf numFmtId="175" fontId="1" fillId="2" borderId="140" xfId="0" applyNumberFormat="1" applyFont="1" applyFill="1" applyBorder="1"/>
    <xf numFmtId="0" fontId="1" fillId="2" borderId="140" xfId="0" applyFont="1" applyFill="1" applyBorder="1"/>
    <xf numFmtId="2" fontId="1" fillId="2" borderId="10" xfId="0" applyNumberFormat="1" applyFont="1" applyFill="1" applyBorder="1"/>
    <xf numFmtId="0" fontId="1" fillId="2" borderId="26" xfId="0" applyFont="1" applyFill="1" applyBorder="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xf>
    <xf numFmtId="0" fontId="1" fillId="2" borderId="141" xfId="0" applyFont="1" applyFill="1" applyBorder="1"/>
    <xf numFmtId="0" fontId="1" fillId="2" borderId="143" xfId="0" applyFont="1" applyFill="1" applyBorder="1"/>
    <xf numFmtId="170" fontId="1" fillId="2" borderId="144" xfId="0" applyNumberFormat="1" applyFont="1" applyFill="1" applyBorder="1"/>
    <xf numFmtId="174" fontId="1" fillId="2" borderId="144" xfId="0" applyNumberFormat="1" applyFont="1" applyFill="1" applyBorder="1"/>
    <xf numFmtId="0" fontId="1" fillId="2" borderId="38" xfId="0" applyFont="1" applyFill="1" applyBorder="1" applyAlignment="1">
      <alignment horizontal="center" vertical="center"/>
    </xf>
    <xf numFmtId="0" fontId="1" fillId="2" borderId="99" xfId="0" applyFont="1" applyFill="1" applyBorder="1" applyAlignment="1">
      <alignment vertical="center" wrapText="1"/>
    </xf>
    <xf numFmtId="0" fontId="1" fillId="2" borderId="99"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29" xfId="0" applyFont="1" applyFill="1" applyBorder="1" applyAlignment="1">
      <alignment vertical="center" wrapText="1"/>
    </xf>
    <xf numFmtId="0" fontId="1" fillId="2" borderId="29" xfId="0" applyFont="1" applyFill="1" applyBorder="1" applyAlignment="1">
      <alignment horizontal="center" vertical="center"/>
    </xf>
    <xf numFmtId="2" fontId="18" fillId="2" borderId="52" xfId="0" applyNumberFormat="1" applyFont="1" applyFill="1" applyBorder="1" applyAlignment="1">
      <alignment horizontal="center" vertical="center"/>
    </xf>
    <xf numFmtId="176" fontId="18" fillId="2" borderId="54" xfId="0" applyNumberFormat="1" applyFont="1" applyFill="1" applyBorder="1" applyAlignment="1">
      <alignment horizontal="center" vertical="center"/>
    </xf>
    <xf numFmtId="174" fontId="1" fillId="2" borderId="134" xfId="0" applyNumberFormat="1" applyFont="1" applyFill="1" applyAlignment="1">
      <alignment horizontal="left" vertical="center"/>
    </xf>
    <xf numFmtId="0" fontId="1" fillId="2" borderId="134" xfId="0" applyFont="1" applyFill="1" applyAlignment="1">
      <alignment horizontal="left" vertical="center"/>
    </xf>
    <xf numFmtId="0" fontId="18" fillId="2" borderId="134" xfId="0" applyFont="1" applyFill="1" applyAlignment="1">
      <alignment horizontal="center"/>
    </xf>
    <xf numFmtId="1" fontId="18" fillId="2" borderId="134" xfId="0" applyNumberFormat="1" applyFont="1" applyFill="1" applyAlignment="1">
      <alignment horizontal="center"/>
    </xf>
    <xf numFmtId="0" fontId="1" fillId="13" borderId="134" xfId="0" applyFont="1" applyFill="1" applyAlignment="1">
      <alignment wrapText="1"/>
    </xf>
    <xf numFmtId="0" fontId="18" fillId="13" borderId="134" xfId="0" applyFont="1" applyFill="1" applyAlignment="1">
      <alignment horizontal="center"/>
    </xf>
    <xf numFmtId="1" fontId="18" fillId="13" borderId="134" xfId="0" applyNumberFormat="1" applyFont="1" applyFill="1" applyAlignment="1">
      <alignment horizontal="center"/>
    </xf>
    <xf numFmtId="0" fontId="40" fillId="0" borderId="10" xfId="0" applyFont="1" applyBorder="1"/>
    <xf numFmtId="2" fontId="1" fillId="2" borderId="118" xfId="0" applyNumberFormat="1" applyFont="1" applyFill="1" applyBorder="1" applyAlignment="1">
      <alignment horizontal="center" vertical="center"/>
    </xf>
    <xf numFmtId="177" fontId="18" fillId="2" borderId="54" xfId="0" applyNumberFormat="1" applyFont="1" applyFill="1" applyBorder="1" applyAlignment="1">
      <alignment horizontal="center" vertical="center"/>
    </xf>
    <xf numFmtId="0" fontId="40" fillId="0" borderId="134" xfId="0" applyFont="1"/>
    <xf numFmtId="2" fontId="1" fillId="2" borderId="29" xfId="0" applyNumberFormat="1" applyFont="1" applyFill="1" applyBorder="1"/>
    <xf numFmtId="174" fontId="1" fillId="2" borderId="29" xfId="0" applyNumberFormat="1" applyFont="1" applyFill="1" applyBorder="1"/>
    <xf numFmtId="174" fontId="1" fillId="2" borderId="141" xfId="0" applyNumberFormat="1" applyFont="1" applyFill="1" applyBorder="1"/>
    <xf numFmtId="0" fontId="1" fillId="2" borderId="146" xfId="0" applyFont="1" applyFill="1" applyBorder="1"/>
    <xf numFmtId="175" fontId="1" fillId="2" borderId="147" xfId="0" applyNumberFormat="1" applyFont="1" applyFill="1" applyBorder="1"/>
    <xf numFmtId="174" fontId="1" fillId="2" borderId="147" xfId="0" applyNumberFormat="1" applyFont="1" applyFill="1" applyBorder="1"/>
    <xf numFmtId="1" fontId="18" fillId="2" borderId="134" xfId="0" applyNumberFormat="1" applyFont="1" applyFill="1" applyAlignment="1">
      <alignment horizontal="center" vertical="center"/>
    </xf>
    <xf numFmtId="0" fontId="18" fillId="4" borderId="134" xfId="0" applyFont="1" applyFill="1" applyAlignment="1">
      <alignment horizontal="center" vertical="center"/>
    </xf>
    <xf numFmtId="0" fontId="18" fillId="4" borderId="10" xfId="0" applyFont="1" applyFill="1" applyBorder="1" applyAlignment="1">
      <alignment horizontal="center" vertical="center" wrapText="1"/>
    </xf>
    <xf numFmtId="0" fontId="18" fillId="4" borderId="134" xfId="0" applyFont="1" applyFill="1" applyAlignment="1">
      <alignment horizontal="center" vertical="center" wrapText="1"/>
    </xf>
    <xf numFmtId="168" fontId="15" fillId="7" borderId="83" xfId="0" applyNumberFormat="1" applyFont="1" applyFill="1" applyBorder="1"/>
    <xf numFmtId="0" fontId="18" fillId="12" borderId="57" xfId="0" applyFont="1" applyFill="1" applyBorder="1" applyAlignment="1">
      <alignment horizontal="left"/>
    </xf>
    <xf numFmtId="169" fontId="1" fillId="2" borderId="57" xfId="0" applyNumberFormat="1" applyFont="1" applyFill="1" applyBorder="1"/>
    <xf numFmtId="1" fontId="1" fillId="2" borderId="10" xfId="0" applyNumberFormat="1" applyFont="1" applyFill="1" applyBorder="1"/>
    <xf numFmtId="168" fontId="15" fillId="7" borderId="84" xfId="0" applyNumberFormat="1" applyFont="1" applyFill="1" applyBorder="1"/>
    <xf numFmtId="168" fontId="15" fillId="7" borderId="97" xfId="0" applyNumberFormat="1" applyFont="1" applyFill="1" applyBorder="1"/>
    <xf numFmtId="168" fontId="15" fillId="8" borderId="83" xfId="0" applyNumberFormat="1" applyFont="1" applyFill="1" applyBorder="1"/>
    <xf numFmtId="168" fontId="15" fillId="8" borderId="84" xfId="0" applyNumberFormat="1" applyFont="1" applyFill="1" applyBorder="1"/>
    <xf numFmtId="168" fontId="15" fillId="8" borderId="85" xfId="0" applyNumberFormat="1" applyFont="1" applyFill="1" applyBorder="1"/>
    <xf numFmtId="0" fontId="18" fillId="12" borderId="148" xfId="0" applyFont="1" applyFill="1" applyBorder="1" applyAlignment="1">
      <alignment horizontal="left"/>
    </xf>
    <xf numFmtId="2" fontId="18" fillId="12" borderId="57" xfId="0" applyNumberFormat="1" applyFont="1" applyFill="1" applyBorder="1" applyAlignment="1">
      <alignment horizontal="left"/>
    </xf>
    <xf numFmtId="2" fontId="18" fillId="12" borderId="10" xfId="0" applyNumberFormat="1" applyFont="1" applyFill="1" applyBorder="1"/>
    <xf numFmtId="2" fontId="18" fillId="12" borderId="134" xfId="0" applyNumberFormat="1" applyFont="1" applyFill="1"/>
    <xf numFmtId="168" fontId="15" fillId="8" borderId="97" xfId="0" applyNumberFormat="1" applyFont="1" applyFill="1" applyBorder="1"/>
    <xf numFmtId="0" fontId="18" fillId="12" borderId="47" xfId="0" applyFont="1" applyFill="1" applyBorder="1" applyAlignment="1">
      <alignment horizontal="left"/>
    </xf>
    <xf numFmtId="0" fontId="18" fillId="2" borderId="52" xfId="0" applyFont="1" applyFill="1" applyBorder="1" applyAlignment="1">
      <alignment horizontal="center" vertical="top" wrapText="1"/>
    </xf>
    <xf numFmtId="0" fontId="10" fillId="4" borderId="63" xfId="0" applyFont="1" applyFill="1" applyBorder="1" applyAlignment="1">
      <alignment horizontal="center"/>
    </xf>
    <xf numFmtId="0" fontId="0" fillId="0" borderId="61" xfId="0" applyBorder="1"/>
    <xf numFmtId="0" fontId="0" fillId="0" borderId="59" xfId="0" applyBorder="1"/>
    <xf numFmtId="0" fontId="10" fillId="4" borderId="63" xfId="0" applyFont="1" applyFill="1" applyBorder="1" applyAlignment="1">
      <alignment horizontal="left"/>
    </xf>
    <xf numFmtId="0" fontId="16" fillId="7" borderId="63" xfId="0" applyFont="1" applyFill="1" applyBorder="1" applyAlignment="1">
      <alignment horizontal="center" vertical="center" wrapText="1"/>
    </xf>
    <xf numFmtId="0" fontId="0" fillId="0" borderId="122" xfId="0" applyBorder="1"/>
    <xf numFmtId="0" fontId="0" fillId="0" borderId="19" xfId="0" applyBorder="1"/>
    <xf numFmtId="0" fontId="16" fillId="10" borderId="63" xfId="0" applyFont="1" applyFill="1" applyBorder="1" applyAlignment="1">
      <alignment horizontal="center" vertical="center" wrapText="1"/>
    </xf>
    <xf numFmtId="0" fontId="16" fillId="9" borderId="63" xfId="0" applyFont="1" applyFill="1" applyBorder="1" applyAlignment="1">
      <alignment horizontal="center" vertical="center" wrapText="1"/>
    </xf>
    <xf numFmtId="0" fontId="11" fillId="0" borderId="82" xfId="0" applyFont="1" applyBorder="1" applyAlignment="1">
      <alignment horizontal="left" vertical="top" wrapText="1"/>
    </xf>
    <xf numFmtId="0" fontId="0" fillId="0" borderId="98" xfId="0" applyBorder="1"/>
    <xf numFmtId="0" fontId="0" fillId="0" borderId="108" xfId="0" applyBorder="1"/>
    <xf numFmtId="0" fontId="1" fillId="2" borderId="82" xfId="0" applyFont="1" applyFill="1" applyBorder="1" applyAlignment="1">
      <alignment horizontal="left" vertical="top" wrapText="1"/>
    </xf>
    <xf numFmtId="0" fontId="1" fillId="2" borderId="134" xfId="0" applyFont="1" applyFill="1" applyAlignment="1">
      <alignment horizontal="left" vertical="top" wrapText="1"/>
    </xf>
    <xf numFmtId="0" fontId="0" fillId="0" borderId="0" xfId="0" applyBorder="1"/>
    <xf numFmtId="0" fontId="16" fillId="8" borderId="63" xfId="0" applyFont="1" applyFill="1" applyBorder="1" applyAlignment="1">
      <alignment horizontal="center" vertical="center" wrapText="1"/>
    </xf>
    <xf numFmtId="0" fontId="16" fillId="5" borderId="63" xfId="0" applyFont="1" applyFill="1" applyBorder="1" applyAlignment="1">
      <alignment horizontal="center" vertical="center" wrapText="1"/>
    </xf>
    <xf numFmtId="0" fontId="0" fillId="0" borderId="119" xfId="0" applyBorder="1"/>
    <xf numFmtId="0" fontId="0" fillId="0" borderId="120" xfId="0" applyBorder="1"/>
    <xf numFmtId="0" fontId="0" fillId="0" borderId="114" xfId="0" applyBorder="1"/>
    <xf numFmtId="0" fontId="0" fillId="0" borderId="96" xfId="0" applyBorder="1"/>
    <xf numFmtId="0" fontId="0" fillId="0" borderId="105" xfId="0" applyBorder="1"/>
    <xf numFmtId="0" fontId="0" fillId="0" borderId="113" xfId="0" applyBorder="1"/>
    <xf numFmtId="0" fontId="0" fillId="0" borderId="64" xfId="0" applyBorder="1"/>
    <xf numFmtId="0" fontId="10" fillId="6" borderId="10" xfId="0" applyFont="1" applyFill="1" applyBorder="1" applyAlignment="1">
      <alignment horizontal="left" vertical="top" wrapText="1"/>
    </xf>
    <xf numFmtId="0" fontId="0" fillId="0" borderId="66" xfId="0" applyBorder="1"/>
    <xf numFmtId="0" fontId="0" fillId="0" borderId="57" xfId="0" applyBorder="1"/>
    <xf numFmtId="0" fontId="16" fillId="5" borderId="63" xfId="0" applyFont="1" applyFill="1" applyBorder="1" applyAlignment="1">
      <alignment horizontal="center" vertical="center" textRotation="90" wrapText="1"/>
    </xf>
    <xf numFmtId="0" fontId="18" fillId="12" borderId="121" xfId="0" applyFont="1" applyFill="1" applyBorder="1" applyAlignment="1">
      <alignment horizontal="left"/>
    </xf>
    <xf numFmtId="0" fontId="1" fillId="5" borderId="27" xfId="0" applyFont="1" applyFill="1" applyBorder="1" applyAlignment="1">
      <alignment horizontal="center" vertical="center"/>
    </xf>
    <xf numFmtId="0" fontId="0" fillId="0" borderId="92" xfId="0" applyBorder="1"/>
    <xf numFmtId="0" fontId="1" fillId="5" borderId="92" xfId="0" applyFont="1" applyFill="1" applyBorder="1" applyAlignment="1">
      <alignment horizontal="center" vertical="center"/>
    </xf>
    <xf numFmtId="0" fontId="18" fillId="5" borderId="83" xfId="0" applyFont="1" applyFill="1" applyBorder="1" applyAlignment="1">
      <alignment horizontal="center" vertical="center"/>
    </xf>
    <xf numFmtId="0" fontId="0" fillId="0" borderId="94" xfId="0" applyBorder="1"/>
    <xf numFmtId="0" fontId="1" fillId="12" borderId="83" xfId="0" applyFont="1" applyFill="1" applyBorder="1" applyAlignment="1">
      <alignment horizontal="center" vertical="center"/>
    </xf>
    <xf numFmtId="0" fontId="18" fillId="4" borderId="121" xfId="0" applyFont="1" applyFill="1" applyBorder="1" applyAlignment="1">
      <alignment horizontal="center" vertical="center"/>
    </xf>
    <xf numFmtId="0" fontId="1" fillId="5" borderId="84" xfId="0" applyFont="1" applyFill="1" applyBorder="1" applyAlignment="1">
      <alignment horizontal="center" vertical="center"/>
    </xf>
    <xf numFmtId="0" fontId="1" fillId="5" borderId="83" xfId="0" applyFont="1" applyFill="1" applyBorder="1" applyAlignment="1">
      <alignment horizontal="center" vertical="center"/>
    </xf>
    <xf numFmtId="10" fontId="18" fillId="12" borderId="84" xfId="0" applyNumberFormat="1" applyFont="1" applyFill="1" applyBorder="1" applyAlignment="1">
      <alignment horizontal="center" vertical="center"/>
    </xf>
    <xf numFmtId="0" fontId="1" fillId="12" borderId="84" xfId="0" applyFont="1" applyFill="1" applyBorder="1" applyAlignment="1">
      <alignment horizontal="center" vertical="center"/>
    </xf>
    <xf numFmtId="168" fontId="13" fillId="7" borderId="83" xfId="0" applyNumberFormat="1" applyFont="1" applyFill="1" applyBorder="1" applyAlignment="1">
      <alignment horizontal="left"/>
    </xf>
    <xf numFmtId="0" fontId="1" fillId="5" borderId="84" xfId="0" applyFont="1" applyFill="1" applyBorder="1" applyAlignment="1">
      <alignment horizontal="center"/>
    </xf>
    <xf numFmtId="168" fontId="13" fillId="7" borderId="85" xfId="0" applyNumberFormat="1" applyFont="1" applyFill="1" applyBorder="1" applyAlignment="1">
      <alignment horizontal="left"/>
    </xf>
    <xf numFmtId="0" fontId="0" fillId="0" borderId="93" xfId="0" applyBorder="1"/>
    <xf numFmtId="0" fontId="1" fillId="5" borderId="30" xfId="0" applyFont="1" applyFill="1" applyBorder="1" applyAlignment="1">
      <alignment horizontal="center" vertical="center"/>
    </xf>
    <xf numFmtId="168" fontId="13" fillId="7" borderId="84" xfId="0" applyNumberFormat="1" applyFont="1" applyFill="1" applyBorder="1" applyAlignment="1">
      <alignment horizontal="left"/>
    </xf>
    <xf numFmtId="168" fontId="13" fillId="8" borderId="122" xfId="0" applyNumberFormat="1" applyFont="1" applyFill="1" applyBorder="1" applyAlignment="1">
      <alignment horizontal="left"/>
    </xf>
    <xf numFmtId="0" fontId="1" fillId="5" borderId="94" xfId="0" applyFont="1" applyFill="1" applyBorder="1" applyAlignment="1">
      <alignment horizontal="center" vertical="center"/>
    </xf>
    <xf numFmtId="0" fontId="1" fillId="5" borderId="85" xfId="0" applyFont="1" applyFill="1" applyBorder="1" applyAlignment="1">
      <alignment horizontal="center" vertical="center"/>
    </xf>
    <xf numFmtId="0" fontId="1" fillId="5" borderId="97" xfId="0" applyFont="1" applyFill="1" applyBorder="1" applyAlignment="1">
      <alignment horizontal="center" vertical="center"/>
    </xf>
    <xf numFmtId="0" fontId="0" fillId="0" borderId="72" xfId="0" applyBorder="1"/>
    <xf numFmtId="168" fontId="20" fillId="5" borderId="110" xfId="0" applyNumberFormat="1" applyFont="1" applyFill="1" applyBorder="1" applyAlignment="1">
      <alignment horizontal="center" vertical="center"/>
    </xf>
    <xf numFmtId="0" fontId="0" fillId="0" borderId="87" xfId="0" applyBorder="1"/>
    <xf numFmtId="0" fontId="1" fillId="5" borderId="112" xfId="0" applyFont="1" applyFill="1" applyBorder="1" applyAlignment="1">
      <alignment horizontal="center" vertical="center"/>
    </xf>
    <xf numFmtId="0" fontId="0" fillId="0" borderId="75" xfId="0" applyBorder="1"/>
    <xf numFmtId="168" fontId="20" fillId="5" borderId="106" xfId="0" applyNumberFormat="1" applyFont="1" applyFill="1" applyBorder="1" applyAlignment="1">
      <alignment horizontal="center" vertical="center"/>
    </xf>
    <xf numFmtId="0" fontId="0" fillId="0" borderId="106" xfId="0" applyBorder="1"/>
    <xf numFmtId="168" fontId="13" fillId="9" borderId="122" xfId="0" applyNumberFormat="1" applyFont="1" applyFill="1" applyBorder="1" applyAlignment="1">
      <alignment horizontal="left"/>
    </xf>
    <xf numFmtId="0" fontId="1" fillId="5" borderId="25" xfId="0" applyFont="1" applyFill="1" applyBorder="1" applyAlignment="1">
      <alignment horizontal="center" vertical="center"/>
    </xf>
    <xf numFmtId="0" fontId="10" fillId="4" borderId="63" xfId="0" applyFont="1" applyFill="1" applyBorder="1" applyAlignment="1">
      <alignment horizontal="center" vertical="center"/>
    </xf>
    <xf numFmtId="168" fontId="20" fillId="5" borderId="83" xfId="0" applyNumberFormat="1" applyFont="1" applyFill="1" applyBorder="1" applyAlignment="1">
      <alignment horizontal="center" vertical="center"/>
    </xf>
    <xf numFmtId="0" fontId="18" fillId="4" borderId="63" xfId="0" applyFont="1" applyFill="1" applyBorder="1" applyAlignment="1">
      <alignment horizontal="center" vertical="center"/>
    </xf>
    <xf numFmtId="0" fontId="10" fillId="6" borderId="63" xfId="0" applyFont="1" applyFill="1" applyBorder="1" applyAlignment="1">
      <alignment horizontal="left"/>
    </xf>
    <xf numFmtId="0" fontId="1" fillId="5" borderId="23" xfId="0" applyFont="1" applyFill="1" applyBorder="1" applyAlignment="1">
      <alignment horizontal="center" vertical="center"/>
    </xf>
    <xf numFmtId="0" fontId="0" fillId="0" borderId="74" xfId="0" applyBorder="1"/>
    <xf numFmtId="0" fontId="1" fillId="5" borderId="93" xfId="0" applyFont="1" applyFill="1" applyBorder="1" applyAlignment="1">
      <alignment horizontal="center" vertical="center"/>
    </xf>
    <xf numFmtId="168" fontId="20" fillId="5" borderId="38" xfId="0" applyNumberFormat="1" applyFont="1" applyFill="1" applyBorder="1" applyAlignment="1">
      <alignment horizontal="center" vertical="center"/>
    </xf>
    <xf numFmtId="0" fontId="0" fillId="0" borderId="111" xfId="0" applyBorder="1"/>
    <xf numFmtId="0" fontId="1" fillId="12" borderId="92" xfId="0" applyFont="1" applyFill="1" applyBorder="1" applyAlignment="1">
      <alignment horizontal="center" vertical="center"/>
    </xf>
    <xf numFmtId="0" fontId="1" fillId="5" borderId="26" xfId="0" applyFont="1" applyFill="1" applyBorder="1" applyAlignment="1">
      <alignment horizontal="center" vertical="center"/>
    </xf>
    <xf numFmtId="0" fontId="4" fillId="4" borderId="64" xfId="0" applyFont="1" applyFill="1" applyBorder="1" applyAlignment="1">
      <alignment horizontal="left"/>
    </xf>
    <xf numFmtId="0" fontId="1" fillId="5" borderId="39" xfId="0" applyFont="1" applyFill="1" applyBorder="1" applyAlignment="1">
      <alignment horizontal="center" vertical="center"/>
    </xf>
    <xf numFmtId="168" fontId="20" fillId="5" borderId="91" xfId="0" applyNumberFormat="1" applyFont="1" applyFill="1" applyBorder="1" applyAlignment="1">
      <alignment horizontal="center" vertical="center"/>
    </xf>
    <xf numFmtId="0" fontId="4" fillId="4" borderId="97" xfId="0" applyFont="1" applyFill="1" applyBorder="1" applyAlignment="1">
      <alignment horizontal="center" vertical="center"/>
    </xf>
    <xf numFmtId="168" fontId="13" fillId="10" borderId="63" xfId="0" applyNumberFormat="1" applyFont="1" applyFill="1" applyBorder="1" applyAlignment="1">
      <alignment horizontal="left" vertical="center" wrapText="1"/>
    </xf>
    <xf numFmtId="0" fontId="1" fillId="12" borderId="85" xfId="0" applyFont="1" applyFill="1" applyBorder="1" applyAlignment="1">
      <alignment horizontal="center" vertical="center"/>
    </xf>
    <xf numFmtId="0" fontId="13" fillId="12" borderId="63" xfId="0" applyFont="1" applyFill="1" applyBorder="1" applyAlignment="1">
      <alignment horizontal="left"/>
    </xf>
    <xf numFmtId="0" fontId="15" fillId="2" borderId="63" xfId="0" applyFont="1" applyFill="1" applyBorder="1" applyAlignment="1">
      <alignment horizontal="left" vertical="top" wrapText="1"/>
    </xf>
    <xf numFmtId="0" fontId="18" fillId="4" borderId="120" xfId="0" applyFont="1" applyFill="1" applyBorder="1" applyAlignment="1">
      <alignment horizontal="center" vertical="center"/>
    </xf>
    <xf numFmtId="0" fontId="1" fillId="12" borderId="94" xfId="0" applyFont="1" applyFill="1" applyBorder="1" applyAlignment="1">
      <alignment horizontal="center" vertical="center"/>
    </xf>
    <xf numFmtId="168" fontId="13" fillId="10" borderId="19" xfId="0" applyNumberFormat="1" applyFont="1" applyFill="1" applyBorder="1" applyAlignment="1">
      <alignment horizontal="left" vertical="center"/>
    </xf>
    <xf numFmtId="0" fontId="14" fillId="2" borderId="63" xfId="0" applyFont="1" applyFill="1" applyBorder="1" applyAlignment="1">
      <alignment horizontal="left" vertical="top" wrapText="1"/>
    </xf>
    <xf numFmtId="0" fontId="1" fillId="5" borderId="80" xfId="0" applyFont="1" applyFill="1" applyBorder="1" applyAlignment="1">
      <alignment horizontal="center" vertical="center"/>
    </xf>
    <xf numFmtId="0" fontId="1" fillId="5" borderId="28" xfId="0" applyFont="1" applyFill="1" applyBorder="1" applyAlignment="1">
      <alignment horizontal="center" vertical="center"/>
    </xf>
    <xf numFmtId="0" fontId="0" fillId="0" borderId="76" xfId="0" applyBorder="1"/>
    <xf numFmtId="0" fontId="1" fillId="5" borderId="72" xfId="0" applyFont="1" applyFill="1" applyBorder="1" applyAlignment="1">
      <alignment horizontal="center" vertical="center"/>
    </xf>
    <xf numFmtId="168" fontId="20" fillId="5" borderId="39" xfId="0" applyNumberFormat="1" applyFont="1" applyFill="1" applyBorder="1" applyAlignment="1">
      <alignment horizontal="center" vertical="center"/>
    </xf>
    <xf numFmtId="0" fontId="0" fillId="0" borderId="118" xfId="0" applyBorder="1"/>
    <xf numFmtId="168" fontId="20" fillId="5" borderId="105" xfId="0" applyNumberFormat="1" applyFont="1" applyFill="1" applyBorder="1" applyAlignment="1">
      <alignment horizontal="center" vertical="center"/>
    </xf>
    <xf numFmtId="0" fontId="10" fillId="4" borderId="121" xfId="0" applyFont="1" applyFill="1" applyBorder="1" applyAlignment="1">
      <alignment horizontal="center" vertical="center"/>
    </xf>
    <xf numFmtId="0" fontId="1" fillId="12" borderId="27" xfId="0" applyFont="1" applyFill="1" applyBorder="1" applyAlignment="1">
      <alignment horizontal="center" vertical="center"/>
    </xf>
    <xf numFmtId="0" fontId="1" fillId="5" borderId="27" xfId="0" applyFont="1" applyFill="1" applyBorder="1" applyAlignment="1">
      <alignment horizontal="center"/>
    </xf>
    <xf numFmtId="0" fontId="1" fillId="5" borderId="121" xfId="0" applyFont="1" applyFill="1" applyBorder="1" applyAlignment="1">
      <alignment horizontal="center" vertical="center"/>
    </xf>
    <xf numFmtId="168" fontId="13" fillId="8" borderId="122" xfId="0" applyNumberFormat="1" applyFont="1" applyFill="1" applyBorder="1" applyAlignment="1">
      <alignment horizontal="left" wrapText="1"/>
    </xf>
    <xf numFmtId="168" fontId="13" fillId="10" borderId="19" xfId="0" applyNumberFormat="1" applyFont="1" applyFill="1" applyBorder="1" applyAlignment="1">
      <alignment horizontal="left" vertical="center" wrapText="1"/>
    </xf>
    <xf numFmtId="168" fontId="20" fillId="5" borderId="112" xfId="0" applyNumberFormat="1" applyFont="1" applyFill="1" applyBorder="1" applyAlignment="1">
      <alignment horizontal="center" vertical="center"/>
    </xf>
    <xf numFmtId="0" fontId="4" fillId="4" borderId="121" xfId="0" applyFont="1" applyFill="1" applyBorder="1" applyAlignment="1">
      <alignment horizontal="center" vertical="center"/>
    </xf>
    <xf numFmtId="168" fontId="20" fillId="5" borderId="30" xfId="0" applyNumberFormat="1" applyFont="1" applyFill="1" applyBorder="1" applyAlignment="1">
      <alignment horizontal="center" vertical="center"/>
    </xf>
    <xf numFmtId="0" fontId="0" fillId="0" borderId="70" xfId="0" applyBorder="1"/>
    <xf numFmtId="0" fontId="13" fillId="12" borderId="83" xfId="0" applyFont="1" applyFill="1" applyBorder="1" applyAlignment="1">
      <alignment horizontal="left"/>
    </xf>
    <xf numFmtId="0" fontId="18" fillId="5" borderId="112" xfId="0" applyFont="1" applyFill="1" applyBorder="1" applyAlignment="1">
      <alignment horizontal="center" vertical="center"/>
    </xf>
    <xf numFmtId="168" fontId="20" fillId="5" borderId="60" xfId="0" applyNumberFormat="1" applyFont="1" applyFill="1" applyBorder="1" applyAlignment="1">
      <alignment horizontal="center" vertical="center"/>
    </xf>
    <xf numFmtId="168" fontId="13" fillId="9" borderId="63" xfId="0" applyNumberFormat="1" applyFont="1" applyFill="1" applyBorder="1" applyAlignment="1">
      <alignment horizontal="left"/>
    </xf>
    <xf numFmtId="0" fontId="1" fillId="5" borderId="38" xfId="0" applyFont="1" applyFill="1" applyBorder="1" applyAlignment="1">
      <alignment horizontal="center" vertical="center"/>
    </xf>
    <xf numFmtId="0" fontId="0" fillId="0" borderId="109" xfId="0" applyBorder="1"/>
    <xf numFmtId="168" fontId="13" fillId="8" borderId="63" xfId="0" applyNumberFormat="1" applyFont="1" applyFill="1" applyBorder="1" applyAlignment="1">
      <alignment horizontal="left" wrapText="1"/>
    </xf>
    <xf numFmtId="0" fontId="1" fillId="2" borderId="87" xfId="0" applyFont="1" applyFill="1" applyBorder="1" applyAlignment="1">
      <alignment horizontal="left" vertical="center" wrapText="1"/>
    </xf>
    <xf numFmtId="0" fontId="0" fillId="0" borderId="134" xfId="0"/>
    <xf numFmtId="0" fontId="18" fillId="2" borderId="63" xfId="0" applyFont="1" applyFill="1" applyBorder="1" applyAlignment="1">
      <alignment horizontal="center" vertical="center" wrapText="1"/>
    </xf>
    <xf numFmtId="0" fontId="18" fillId="4" borderId="10" xfId="0" applyFont="1" applyFill="1" applyBorder="1" applyAlignment="1">
      <alignment horizontal="center" vertical="center"/>
    </xf>
    <xf numFmtId="0" fontId="1" fillId="2" borderId="139" xfId="0" applyFont="1" applyFill="1" applyBorder="1"/>
    <xf numFmtId="0" fontId="18" fillId="16" borderId="151" xfId="0" applyFont="1" applyFill="1" applyBorder="1"/>
    <xf numFmtId="0" fontId="0" fillId="0" borderId="78" xfId="0" applyBorder="1"/>
    <xf numFmtId="0" fontId="10" fillId="6" borderId="63" xfId="0" applyFont="1" applyFill="1" applyBorder="1" applyAlignment="1">
      <alignment horizontal="center"/>
    </xf>
    <xf numFmtId="0" fontId="1" fillId="2" borderId="149" xfId="0" applyFont="1" applyFill="1" applyBorder="1"/>
    <xf numFmtId="0" fontId="10" fillId="40" borderId="63" xfId="0" applyFont="1" applyFill="1" applyBorder="1" applyAlignment="1">
      <alignment horizontal="center"/>
    </xf>
    <xf numFmtId="0" fontId="10" fillId="6" borderId="62" xfId="0" applyFont="1" applyFill="1" applyBorder="1" applyAlignment="1">
      <alignment horizontal="center"/>
    </xf>
    <xf numFmtId="0" fontId="1" fillId="2" borderId="19" xfId="0" applyFont="1" applyFill="1" applyBorder="1" applyAlignment="1">
      <alignment horizontal="center" vertical="center" wrapText="1"/>
    </xf>
    <xf numFmtId="0" fontId="1" fillId="2" borderId="63" xfId="0" applyFont="1" applyFill="1" applyBorder="1" applyAlignment="1">
      <alignment horizontal="left" vertical="top" wrapText="1"/>
    </xf>
    <xf numFmtId="0" fontId="1" fillId="2" borderId="152" xfId="0" applyFont="1" applyFill="1" applyBorder="1"/>
    <xf numFmtId="0" fontId="10" fillId="14" borderId="153" xfId="0" applyFont="1" applyFill="1" applyBorder="1" applyAlignment="1">
      <alignment horizontal="center"/>
    </xf>
    <xf numFmtId="0" fontId="0" fillId="0" borderId="135" xfId="0" applyBorder="1"/>
    <xf numFmtId="0" fontId="0" fillId="0" borderId="136" xfId="0" applyBorder="1"/>
    <xf numFmtId="0" fontId="2" fillId="4" borderId="10" xfId="0" applyFont="1" applyFill="1" applyBorder="1" applyAlignment="1">
      <alignment horizontal="center" vertical="center"/>
    </xf>
    <xf numFmtId="0" fontId="0" fillId="0" borderId="148" xfId="0" applyBorder="1"/>
    <xf numFmtId="0" fontId="18" fillId="2" borderId="154" xfId="0" applyFont="1" applyFill="1" applyBorder="1"/>
    <xf numFmtId="0" fontId="0" fillId="0" borderId="142" xfId="0" applyBorder="1"/>
    <xf numFmtId="0" fontId="1" fillId="2" borderId="63" xfId="0" applyFont="1" applyFill="1" applyBorder="1" applyAlignment="1">
      <alignment horizontal="center" vertical="center" wrapText="1"/>
    </xf>
    <xf numFmtId="0" fontId="18" fillId="2" borderId="150" xfId="0" applyFont="1" applyFill="1" applyBorder="1"/>
    <xf numFmtId="0" fontId="0" fillId="0" borderId="145" xfId="0" applyBorder="1"/>
    <xf numFmtId="0" fontId="10" fillId="8" borderId="63" xfId="0" applyFont="1" applyFill="1" applyBorder="1" applyAlignment="1">
      <alignment horizontal="center"/>
    </xf>
    <xf numFmtId="0" fontId="10" fillId="4" borderId="63" xfId="0" applyFont="1" applyFill="1" applyBorder="1" applyAlignment="1">
      <alignment horizontal="left" wrapText="1"/>
    </xf>
    <xf numFmtId="0" fontId="39" fillId="30" borderId="133" xfId="0" applyFont="1" applyFill="1" applyBorder="1" applyAlignment="1">
      <alignment horizontal="left" vertical="center"/>
    </xf>
    <xf numFmtId="0" fontId="0" fillId="0" borderId="126" xfId="0" applyBorder="1"/>
    <xf numFmtId="0" fontId="38" fillId="29" borderId="123" xfId="0" applyFont="1" applyFill="1" applyBorder="1" applyAlignment="1">
      <alignment horizontal="center" vertical="center"/>
    </xf>
    <xf numFmtId="0" fontId="0" fillId="0" borderId="131" xfId="0" applyBorder="1"/>
    <xf numFmtId="0" fontId="0" fillId="0" borderId="132" xfId="0" applyBorder="1"/>
    <xf numFmtId="0" fontId="0" fillId="0" borderId="125" xfId="0" applyBorder="1"/>
    <xf numFmtId="0" fontId="37" fillId="31" borderId="133" xfId="0" applyFont="1" applyFill="1" applyBorder="1" applyAlignment="1">
      <alignment horizontal="center" vertical="center" wrapText="1"/>
    </xf>
    <xf numFmtId="0" fontId="0" fillId="0" borderId="130" xfId="0" applyBorder="1"/>
    <xf numFmtId="0" fontId="13" fillId="5" borderId="82" xfId="0" applyFont="1" applyFill="1" applyBorder="1" applyAlignment="1">
      <alignment horizontal="center" vertical="center"/>
    </xf>
    <xf numFmtId="0" fontId="13" fillId="5" borderId="80" xfId="0" applyFont="1" applyFill="1" applyBorder="1" applyAlignment="1">
      <alignment horizontal="center" vertical="center"/>
    </xf>
    <xf numFmtId="0" fontId="0" fillId="0" borderId="80" xfId="0" applyBorder="1"/>
    <xf numFmtId="0" fontId="13" fillId="5" borderId="88" xfId="0" applyFont="1" applyFill="1" applyBorder="1" applyAlignment="1">
      <alignment horizontal="center" vertical="center"/>
    </xf>
    <xf numFmtId="0" fontId="0" fillId="0" borderId="88" xfId="0" applyBorder="1"/>
    <xf numFmtId="0" fontId="18" fillId="5" borderId="105" xfId="0" applyFont="1" applyFill="1" applyBorder="1" applyAlignment="1">
      <alignment horizontal="center"/>
    </xf>
    <xf numFmtId="0" fontId="1" fillId="2" borderId="134" xfId="0" applyFont="1" applyFill="1" applyAlignment="1">
      <alignment horizontal="center" vertical="center"/>
    </xf>
    <xf numFmtId="0" fontId="18" fillId="2" borderId="134" xfId="0" applyFont="1" applyFill="1" applyAlignment="1">
      <alignment horizontal="center" vertical="center"/>
    </xf>
    <xf numFmtId="0" fontId="13" fillId="4" borderId="63" xfId="0" applyFont="1" applyFill="1" applyBorder="1" applyAlignment="1">
      <alignment horizontal="right"/>
    </xf>
    <xf numFmtId="0" fontId="1" fillId="0" borderId="53" xfId="0" applyFont="1" applyBorder="1" applyAlignment="1">
      <alignment horizontal="center" vertical="center" wrapText="1"/>
    </xf>
    <xf numFmtId="0" fontId="0" fillId="0" borderId="107" xfId="0" applyBorder="1"/>
    <xf numFmtId="0" fontId="1" fillId="0" borderId="53" xfId="0" applyFont="1" applyBorder="1" applyAlignment="1">
      <alignment horizontal="center" vertical="center"/>
    </xf>
    <xf numFmtId="0" fontId="18" fillId="5" borderId="94" xfId="0" applyFont="1" applyFill="1" applyBorder="1" applyAlignment="1">
      <alignment horizontal="center" vertical="center"/>
    </xf>
    <xf numFmtId="0" fontId="0" fillId="0" borderId="65" xfId="0" applyBorder="1"/>
    <xf numFmtId="0" fontId="18" fillId="5" borderId="54" xfId="0" applyFont="1" applyFill="1" applyBorder="1" applyAlignment="1">
      <alignment horizontal="center" vertical="center" wrapText="1"/>
    </xf>
    <xf numFmtId="0" fontId="10" fillId="4" borderId="121" xfId="0" applyFont="1" applyFill="1" applyBorder="1" applyAlignment="1">
      <alignment horizontal="left"/>
    </xf>
    <xf numFmtId="0" fontId="18" fillId="5" borderId="90" xfId="0" applyFont="1" applyFill="1" applyBorder="1" applyAlignment="1">
      <alignment horizontal="center" vertical="center"/>
    </xf>
    <xf numFmtId="0" fontId="0" fillId="0" borderId="104" xfId="0" applyBorder="1"/>
    <xf numFmtId="0" fontId="18" fillId="5" borderId="53" xfId="0" applyFont="1" applyFill="1" applyBorder="1" applyAlignment="1">
      <alignment horizontal="center" vertical="center"/>
    </xf>
    <xf numFmtId="0" fontId="1" fillId="0" borderId="23" xfId="0" applyFont="1" applyBorder="1" applyAlignment="1">
      <alignment horizontal="left"/>
    </xf>
    <xf numFmtId="0" fontId="1" fillId="16" borderId="63" xfId="0" applyFont="1" applyFill="1" applyBorder="1" applyAlignment="1">
      <alignment horizontal="left"/>
    </xf>
    <xf numFmtId="0" fontId="1" fillId="0" borderId="26" xfId="0" applyFont="1" applyBorder="1" applyAlignment="1">
      <alignment horizontal="center" vertical="center"/>
    </xf>
    <xf numFmtId="0" fontId="1" fillId="0" borderId="122" xfId="0" applyFont="1" applyBorder="1" applyAlignment="1">
      <alignment horizontal="left"/>
    </xf>
    <xf numFmtId="0" fontId="18" fillId="5" borderId="63" xfId="0" applyFont="1" applyFill="1" applyBorder="1" applyAlignment="1">
      <alignment horizontal="left"/>
    </xf>
    <xf numFmtId="0" fontId="1" fillId="0" borderId="19" xfId="0" applyFont="1" applyBorder="1" applyAlignment="1">
      <alignment horizontal="left"/>
    </xf>
    <xf numFmtId="0" fontId="1" fillId="22" borderId="63" xfId="0" applyFont="1" applyFill="1" applyBorder="1" applyAlignment="1">
      <alignment horizontal="left"/>
    </xf>
    <xf numFmtId="0" fontId="1" fillId="2" borderId="23" xfId="0" applyFont="1" applyFill="1" applyBorder="1"/>
    <xf numFmtId="0" fontId="1" fillId="0" borderId="83" xfId="0" applyFont="1" applyBorder="1" applyAlignment="1">
      <alignment horizontal="left" vertical="center"/>
    </xf>
    <xf numFmtId="0" fontId="1" fillId="2" borderId="28" xfId="0" applyFont="1" applyFill="1" applyBorder="1"/>
    <xf numFmtId="0" fontId="1" fillId="0" borderId="121" xfId="0" applyFont="1" applyBorder="1" applyAlignment="1">
      <alignment horizontal="left"/>
    </xf>
    <xf numFmtId="0" fontId="1" fillId="2" borderId="26" xfId="0" applyFont="1" applyFill="1" applyBorder="1"/>
    <xf numFmtId="0" fontId="1" fillId="23" borderId="84" xfId="0" applyFont="1" applyFill="1" applyBorder="1" applyAlignment="1">
      <alignment horizontal="left"/>
    </xf>
    <xf numFmtId="0" fontId="25" fillId="24" borderId="134" xfId="0" applyFont="1" applyFill="1" applyAlignment="1">
      <alignment horizontal="left" vertical="center" wrapText="1"/>
    </xf>
    <xf numFmtId="0" fontId="25" fillId="24" borderId="134" xfId="0" applyFont="1" applyFill="1" applyAlignment="1">
      <alignment horizontal="left" vertical="center"/>
    </xf>
    <xf numFmtId="0" fontId="36" fillId="30" borderId="133" xfId="0" applyFont="1" applyFill="1" applyBorder="1" applyAlignment="1">
      <alignment horizontal="center" vertical="center" wrapText="1"/>
    </xf>
    <xf numFmtId="0" fontId="36" fillId="33" borderId="133" xfId="0" applyFont="1" applyFill="1" applyBorder="1" applyAlignment="1">
      <alignment horizontal="center" vertical="center" wrapText="1"/>
    </xf>
    <xf numFmtId="0" fontId="36" fillId="30" borderId="133" xfId="0" applyFont="1" applyFill="1" applyBorder="1" applyAlignment="1">
      <alignment horizontal="left" vertical="top" wrapText="1"/>
    </xf>
    <xf numFmtId="0" fontId="36" fillId="32" borderId="133" xfId="0" applyFont="1" applyFill="1" applyBorder="1" applyAlignment="1">
      <alignment horizontal="center" vertical="center" wrapText="1"/>
    </xf>
    <xf numFmtId="0" fontId="36" fillId="34" borderId="127" xfId="0" applyFont="1" applyFill="1" applyBorder="1" applyAlignment="1">
      <alignment horizontal="left" vertical="center" wrapText="1"/>
    </xf>
    <xf numFmtId="0" fontId="0" fillId="0" borderId="128" xfId="0" applyBorder="1"/>
    <xf numFmtId="0" fontId="0" fillId="0" borderId="129" xfId="0" applyBorder="1"/>
    <xf numFmtId="0" fontId="36" fillId="33" borderId="127" xfId="0" applyFont="1" applyFill="1" applyBorder="1" applyAlignment="1">
      <alignment horizontal="left" vertical="center" wrapText="1"/>
    </xf>
    <xf numFmtId="0" fontId="36" fillId="35" borderId="127" xfId="0" applyFont="1" applyFill="1" applyBorder="1" applyAlignment="1">
      <alignment horizontal="left" vertical="center" wrapText="1"/>
    </xf>
    <xf numFmtId="0" fontId="36" fillId="32" borderId="127" xfId="0" applyFont="1" applyFill="1" applyBorder="1" applyAlignment="1">
      <alignment horizontal="left" vertical="center" wrapText="1"/>
    </xf>
    <xf numFmtId="0" fontId="1" fillId="25" borderId="63" xfId="0" applyFont="1" applyFill="1" applyBorder="1" applyAlignment="1">
      <alignment horizontal="left"/>
    </xf>
    <xf numFmtId="0" fontId="1" fillId="12" borderId="63" xfId="0" applyFont="1" applyFill="1" applyBorder="1" applyAlignment="1">
      <alignment horizontal="left"/>
    </xf>
    <xf numFmtId="0" fontId="1" fillId="0" borderId="112" xfId="0" applyFont="1" applyBorder="1" applyAlignment="1">
      <alignment horizontal="left" vertical="center"/>
    </xf>
    <xf numFmtId="0" fontId="29" fillId="0" borderId="10" xfId="0" applyFont="1" applyBorder="1" applyAlignment="1">
      <alignment horizontal="center" vertical="center" wrapText="1"/>
    </xf>
    <xf numFmtId="0" fontId="0" fillId="0" borderId="117" xfId="0" applyBorder="1"/>
    <xf numFmtId="0" fontId="0" fillId="0" borderId="82" xfId="0" applyBorder="1"/>
    <xf numFmtId="0" fontId="1" fillId="0" borderId="97" xfId="0" applyFont="1" applyBorder="1" applyAlignment="1">
      <alignment horizontal="left"/>
    </xf>
    <xf numFmtId="0" fontId="18" fillId="26" borderId="10" xfId="0" applyFont="1" applyFill="1" applyBorder="1" applyAlignment="1">
      <alignment horizontal="center"/>
    </xf>
    <xf numFmtId="0" fontId="1" fillId="0" borderId="84" xfId="0" applyFont="1" applyBorder="1" applyAlignment="1">
      <alignment horizontal="left"/>
    </xf>
    <xf numFmtId="0" fontId="18" fillId="0" borderId="10" xfId="0" applyFont="1" applyBorder="1" applyAlignment="1">
      <alignment horizontal="center" vertical="center"/>
    </xf>
    <xf numFmtId="0" fontId="2" fillId="3" borderId="10" xfId="0" applyFont="1" applyFill="1" applyBorder="1" applyAlignment="1">
      <alignment horizontal="center"/>
    </xf>
    <xf numFmtId="0" fontId="33" fillId="0" borderId="10" xfId="0" applyFont="1" applyBorder="1" applyAlignment="1">
      <alignment wrapText="1"/>
    </xf>
    <xf numFmtId="0" fontId="32" fillId="0" borderId="10" xfId="0" applyFont="1" applyBorder="1" applyAlignment="1">
      <alignment wrapText="1"/>
    </xf>
    <xf numFmtId="0" fontId="18" fillId="4" borderId="63" xfId="0" applyFont="1" applyFill="1" applyBorder="1" applyAlignment="1">
      <alignment horizontal="center"/>
    </xf>
    <xf numFmtId="0" fontId="1" fillId="27" borderId="19"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Evolución de la participación en el mercado</a:t>
            </a:r>
          </a:p>
        </c:rich>
      </c:tx>
      <c:overlay val="0"/>
    </c:title>
    <c:autoTitleDeleted val="0"/>
    <c:plotArea>
      <c:layout>
        <c:manualLayout>
          <c:layoutTarget val="inner"/>
          <c:xMode val="edge"/>
          <c:yMode val="edge"/>
          <c:x val="0.1575443122801139"/>
          <c:y val="0.13800000000000001"/>
          <c:w val="0.80841313452839669"/>
          <c:h val="0.71608346456692917"/>
        </c:manualLayout>
      </c:layout>
      <c:barChart>
        <c:barDir val="col"/>
        <c:grouping val="clustered"/>
        <c:varyColors val="1"/>
        <c:ser>
          <c:idx val="0"/>
          <c:order val="0"/>
          <c:tx>
            <c:v>2026</c:v>
          </c:tx>
          <c:spPr>
            <a:solidFill>
              <a:srgbClr val="4472C4"/>
            </a:solidFill>
            <a:ln cmpd="sng">
              <a:solidFill>
                <a:srgbClr val="000000"/>
              </a:solidFill>
              <a:prstDash val="solid"/>
            </a:ln>
          </c:spPr>
          <c:invertIfNegative val="1"/>
          <c:cat>
            <c:strRef>
              <c:f>Hipótesis!$D$23</c:f>
              <c:strCache>
                <c:ptCount val="1"/>
                <c:pt idx="0">
                  <c:v>Total (USD)</c:v>
                </c:pt>
              </c:strCache>
            </c:strRef>
          </c:cat>
          <c:val>
            <c:numRef>
              <c:f>Hipótesis!$D$24</c:f>
              <c:numCache>
                <c:formatCode>_-"$"\ * #,##0.00_-;\-"$"\ * #,##0.00_-;_-"$"\ * "-"??_-;_-@</c:formatCode>
                <c:ptCount val="1"/>
                <c:pt idx="0">
                  <c:v>48960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3431-4E01-9F17-5C4F51BB9C4A}"/>
            </c:ext>
          </c:extLst>
        </c:ser>
        <c:ser>
          <c:idx val="1"/>
          <c:order val="1"/>
          <c:tx>
            <c:v>2027</c:v>
          </c:tx>
          <c:spPr>
            <a:solidFill>
              <a:srgbClr val="ED7D31"/>
            </a:solidFill>
            <a:ln cmpd="sng">
              <a:solidFill>
                <a:srgbClr val="000000"/>
              </a:solidFill>
              <a:prstDash val="solid"/>
            </a:ln>
          </c:spPr>
          <c:invertIfNegative val="1"/>
          <c:cat>
            <c:strRef>
              <c:f>Hipótesis!$D$23</c:f>
              <c:strCache>
                <c:ptCount val="1"/>
                <c:pt idx="0">
                  <c:v>Total (USD)</c:v>
                </c:pt>
              </c:strCache>
            </c:strRef>
          </c:cat>
          <c:val>
            <c:numRef>
              <c:f>Hipótesis!$D$25</c:f>
              <c:numCache>
                <c:formatCode>_-"$"\ * #,##0.00_-;\-"$"\ * #,##0.00_-;_-"$"\ * "-"??_-;_-@</c:formatCode>
                <c:ptCount val="1"/>
                <c:pt idx="0">
                  <c:v>130560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3431-4E01-9F17-5C4F51BB9C4A}"/>
            </c:ext>
          </c:extLst>
        </c:ser>
        <c:ser>
          <c:idx val="2"/>
          <c:order val="2"/>
          <c:tx>
            <c:v>2028</c:v>
          </c:tx>
          <c:spPr>
            <a:solidFill>
              <a:srgbClr val="A5A5A5"/>
            </a:solidFill>
            <a:ln cmpd="sng">
              <a:solidFill>
                <a:srgbClr val="000000"/>
              </a:solidFill>
              <a:prstDash val="solid"/>
            </a:ln>
          </c:spPr>
          <c:invertIfNegative val="1"/>
          <c:cat>
            <c:strRef>
              <c:f>Hipótesis!$D$23</c:f>
              <c:strCache>
                <c:ptCount val="1"/>
                <c:pt idx="0">
                  <c:v>Total (USD)</c:v>
                </c:pt>
              </c:strCache>
            </c:strRef>
          </c:cat>
          <c:val>
            <c:numRef>
              <c:f>Hipótesis!$D$26</c:f>
              <c:numCache>
                <c:formatCode>_-"$"\ * #,##0.00_-;\-"$"\ * #,##0.00_-;_-"$"\ * "-"??_-;_-@</c:formatCode>
                <c:ptCount val="1"/>
                <c:pt idx="0">
                  <c:v>244800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3431-4E01-9F17-5C4F51BB9C4A}"/>
            </c:ext>
          </c:extLst>
        </c:ser>
        <c:dLbls>
          <c:showLegendKey val="0"/>
          <c:showVal val="0"/>
          <c:showCatName val="0"/>
          <c:showSerName val="0"/>
          <c:showPercent val="0"/>
          <c:showBubbleSize val="0"/>
        </c:dLbls>
        <c:gapWidth val="150"/>
        <c:axId val="1709438832"/>
        <c:axId val="1709429040"/>
      </c:barChart>
      <c:catAx>
        <c:axId val="1709438832"/>
        <c:scaling>
          <c:orientation val="minMax"/>
        </c:scaling>
        <c:delete val="0"/>
        <c:axPos val="b"/>
        <c:numFmt formatCode="General" sourceLinked="1"/>
        <c:majorTickMark val="none"/>
        <c:minorTickMark val="none"/>
        <c:tickLblPos val="nextTo"/>
        <c:crossAx val="1709429040"/>
        <c:crosses val="autoZero"/>
        <c:auto val="1"/>
        <c:lblAlgn val="ctr"/>
        <c:lblOffset val="100"/>
        <c:noMultiLvlLbl val="1"/>
      </c:catAx>
      <c:valAx>
        <c:axId val="1709429040"/>
        <c:scaling>
          <c:orientation val="minMax"/>
        </c:scaling>
        <c:delete val="0"/>
        <c:axPos val="l"/>
        <c:majorGridlines>
          <c:spPr>
            <a:ln>
              <a:solidFill>
                <a:srgbClr val="B7B7B7"/>
              </a:solidFill>
              <a:prstDash val="solid"/>
            </a:ln>
          </c:spPr>
        </c:majorGridlines>
        <c:numFmt formatCode="_-&quot;$&quot;\ * #,##0.00_-;\-&quot;$&quot;\ * #,##0.00_-;_-&quot;$&quot;\ * &quot;-&quot;??_-;_-@" sourceLinked="1"/>
        <c:majorTickMark val="none"/>
        <c:minorTickMark val="none"/>
        <c:tickLblPos val="nextTo"/>
        <c:spPr>
          <a:ln>
            <a:prstDash val="solid"/>
          </a:ln>
        </c:spPr>
        <c:crossAx val="1709438832"/>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manualLayout>
          <c:xMode val="edge"/>
          <c:yMode val="edge"/>
          <c:x val="0.1007234739119099"/>
          <c:y val="8.3947929945699024E-2"/>
          <c:w val="0.88416923240132761"/>
          <c:h val="0.78659194141361466"/>
        </c:manualLayout>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ventas'!$F$32</c:f>
              <c:numCache>
                <c:formatCode>_-"$"\ * #,##0.00_-;\-"$"\ * #,##0.00_-;_-"$"\ * "-"??_-;_-@</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E1B-41EF-B5CE-83AA97CAC13C}"/>
            </c:ext>
          </c:extLst>
        </c:ser>
        <c:ser>
          <c:idx val="1"/>
          <c:order val="1"/>
          <c:tx>
            <c:v>Febrero</c:v>
          </c:tx>
          <c:spPr>
            <a:solidFill>
              <a:srgbClr val="ED7D31"/>
            </a:solidFill>
            <a:ln cmpd="sng">
              <a:solidFill>
                <a:srgbClr val="000000"/>
              </a:solidFill>
              <a:prstDash val="solid"/>
            </a:ln>
          </c:spPr>
          <c:invertIfNegative val="1"/>
          <c:val>
            <c:numRef>
              <c:f>'Proy. ventas'!$H$32</c:f>
              <c:numCache>
                <c:formatCode>_-"$"\ * #,##0.00_-;\-"$"\ * #,##0.00_-;_-"$"\ * "-"??_-;_-@</c:formatCode>
                <c:ptCount val="1"/>
                <c:pt idx="0">
                  <c:v>129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E1B-41EF-B5CE-83AA97CAC13C}"/>
            </c:ext>
          </c:extLst>
        </c:ser>
        <c:ser>
          <c:idx val="2"/>
          <c:order val="2"/>
          <c:tx>
            <c:v>Marzo</c:v>
          </c:tx>
          <c:spPr>
            <a:solidFill>
              <a:srgbClr val="A5A5A5"/>
            </a:solidFill>
            <a:ln cmpd="sng">
              <a:solidFill>
                <a:srgbClr val="000000"/>
              </a:solidFill>
              <a:prstDash val="solid"/>
            </a:ln>
          </c:spPr>
          <c:invertIfNegative val="1"/>
          <c:val>
            <c:numRef>
              <c:f>'Proy. ventas'!$J$32</c:f>
              <c:numCache>
                <c:formatCode>_-"$"\ * #,##0.00_-;\-"$"\ * #,##0.00_-;_-"$"\ * "-"??_-;_-@</c:formatCode>
                <c:ptCount val="1"/>
                <c:pt idx="0">
                  <c:v>351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E1B-41EF-B5CE-83AA97CAC13C}"/>
            </c:ext>
          </c:extLst>
        </c:ser>
        <c:ser>
          <c:idx val="3"/>
          <c:order val="3"/>
          <c:tx>
            <c:v>Abril</c:v>
          </c:tx>
          <c:spPr>
            <a:solidFill>
              <a:srgbClr val="FFC000"/>
            </a:solidFill>
            <a:ln cmpd="sng">
              <a:solidFill>
                <a:srgbClr val="000000"/>
              </a:solidFill>
              <a:prstDash val="solid"/>
            </a:ln>
          </c:spPr>
          <c:invertIfNegative val="1"/>
          <c:val>
            <c:numRef>
              <c:f>'Proy. ventas'!$L$32</c:f>
              <c:numCache>
                <c:formatCode>_-"$"\ * #,##0.00_-;\-"$"\ * #,##0.00_-;_-"$"\ * "-"??_-;_-@</c:formatCode>
                <c:ptCount val="1"/>
                <c:pt idx="0">
                  <c:v>582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BE1B-41EF-B5CE-83AA97CAC13C}"/>
            </c:ext>
          </c:extLst>
        </c:ser>
        <c:ser>
          <c:idx val="4"/>
          <c:order val="4"/>
          <c:tx>
            <c:v>Mayo</c:v>
          </c:tx>
          <c:spPr>
            <a:solidFill>
              <a:srgbClr val="5B9BD5"/>
            </a:solidFill>
            <a:ln cmpd="sng">
              <a:solidFill>
                <a:srgbClr val="000000"/>
              </a:solidFill>
              <a:prstDash val="solid"/>
            </a:ln>
          </c:spPr>
          <c:invertIfNegative val="1"/>
          <c:val>
            <c:numRef>
              <c:f>'Proy. ventas'!$N$32</c:f>
              <c:numCache>
                <c:formatCode>_-"$"\ * #,##0.00_-;\-"$"\ * #,##0.00_-;_-"$"\ * "-"??_-;_-@</c:formatCode>
                <c:ptCount val="1"/>
                <c:pt idx="0">
                  <c:v>1146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BE1B-41EF-B5CE-83AA97CAC13C}"/>
            </c:ext>
          </c:extLst>
        </c:ser>
        <c:ser>
          <c:idx val="5"/>
          <c:order val="5"/>
          <c:tx>
            <c:v>Junio</c:v>
          </c:tx>
          <c:spPr>
            <a:solidFill>
              <a:srgbClr val="70AD47"/>
            </a:solidFill>
            <a:ln cmpd="sng">
              <a:solidFill>
                <a:srgbClr val="000000"/>
              </a:solidFill>
              <a:prstDash val="solid"/>
            </a:ln>
          </c:spPr>
          <c:invertIfNegative val="1"/>
          <c:val>
            <c:numRef>
              <c:f>'Proy. ventas'!$P$32</c:f>
              <c:numCache>
                <c:formatCode>_-"$"\ * #,##0.00_-;\-"$"\ * #,##0.00_-;_-"$"\ * "-"??_-;_-@</c:formatCode>
                <c:ptCount val="1"/>
                <c:pt idx="0">
                  <c:v>1440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BE1B-41EF-B5CE-83AA97CAC13C}"/>
            </c:ext>
          </c:extLst>
        </c:ser>
        <c:ser>
          <c:idx val="6"/>
          <c:order val="6"/>
          <c:tx>
            <c:v>Julio</c:v>
          </c:tx>
          <c:spPr>
            <a:solidFill>
              <a:srgbClr val="4472C4"/>
            </a:solidFill>
            <a:ln cmpd="sng">
              <a:solidFill>
                <a:srgbClr val="000000"/>
              </a:solidFill>
              <a:prstDash val="solid"/>
            </a:ln>
          </c:spPr>
          <c:invertIfNegative val="1"/>
          <c:val>
            <c:numRef>
              <c:f>'Proy. ventas'!$R$32</c:f>
              <c:numCache>
                <c:formatCode>_-"$"\ * #,##0.00_-;\-"$"\ * #,##0.00_-;_-"$"\ * "-"??_-;_-@</c:formatCode>
                <c:ptCount val="1"/>
                <c:pt idx="0">
                  <c:v>1798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BE1B-41EF-B5CE-83AA97CAC13C}"/>
            </c:ext>
          </c:extLst>
        </c:ser>
        <c:ser>
          <c:idx val="7"/>
          <c:order val="7"/>
          <c:tx>
            <c:v>Agosto</c:v>
          </c:tx>
          <c:spPr>
            <a:solidFill>
              <a:srgbClr val="ED7D31"/>
            </a:solidFill>
            <a:ln cmpd="sng">
              <a:solidFill>
                <a:srgbClr val="000000"/>
              </a:solidFill>
              <a:prstDash val="solid"/>
            </a:ln>
          </c:spPr>
          <c:invertIfNegative val="1"/>
          <c:val>
            <c:numRef>
              <c:f>'Proy. ventas'!$T$32</c:f>
              <c:numCache>
                <c:formatCode>_-"$"\ * #,##0.00_-;\-"$"\ * #,##0.00_-;_-"$"\ * "-"??_-;_-@</c:formatCode>
                <c:ptCount val="1"/>
                <c:pt idx="0">
                  <c:v>2185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BE1B-41EF-B5CE-83AA97CAC13C}"/>
            </c:ext>
          </c:extLst>
        </c:ser>
        <c:ser>
          <c:idx val="8"/>
          <c:order val="8"/>
          <c:tx>
            <c:v>Septiembre</c:v>
          </c:tx>
          <c:spPr>
            <a:solidFill>
              <a:srgbClr val="A5A5A5"/>
            </a:solidFill>
            <a:ln cmpd="sng">
              <a:solidFill>
                <a:srgbClr val="000000"/>
              </a:solidFill>
              <a:prstDash val="solid"/>
            </a:ln>
          </c:spPr>
          <c:invertIfNegative val="1"/>
          <c:val>
            <c:numRef>
              <c:f>'Proy. ventas'!$V$32</c:f>
              <c:numCache>
                <c:formatCode>_-"$"\ * #,##0.00_-;\-"$"\ * #,##0.00_-;_-"$"\ * "-"??_-;_-@</c:formatCode>
                <c:ptCount val="1"/>
                <c:pt idx="0">
                  <c:v>2552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BE1B-41EF-B5CE-83AA97CAC13C}"/>
            </c:ext>
          </c:extLst>
        </c:ser>
        <c:ser>
          <c:idx val="9"/>
          <c:order val="9"/>
          <c:tx>
            <c:v>Octubre</c:v>
          </c:tx>
          <c:spPr>
            <a:solidFill>
              <a:srgbClr val="FFC000"/>
            </a:solidFill>
            <a:ln cmpd="sng">
              <a:solidFill>
                <a:srgbClr val="000000"/>
              </a:solidFill>
              <a:prstDash val="solid"/>
            </a:ln>
          </c:spPr>
          <c:invertIfNegative val="1"/>
          <c:val>
            <c:numRef>
              <c:f>'Proy. ventas'!$X$32</c:f>
              <c:numCache>
                <c:formatCode>_-"$"\ * #,##0.00_-;\-"$"\ * #,##0.00_-;_-"$"\ * "-"??_-;_-@</c:formatCode>
                <c:ptCount val="1"/>
                <c:pt idx="0">
                  <c:v>2983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BE1B-41EF-B5CE-83AA97CAC13C}"/>
            </c:ext>
          </c:extLst>
        </c:ser>
        <c:ser>
          <c:idx val="10"/>
          <c:order val="10"/>
          <c:tx>
            <c:v>Noviembre</c:v>
          </c:tx>
          <c:spPr>
            <a:solidFill>
              <a:srgbClr val="5B9BD5"/>
            </a:solidFill>
            <a:ln cmpd="sng">
              <a:solidFill>
                <a:srgbClr val="000000"/>
              </a:solidFill>
              <a:prstDash val="solid"/>
            </a:ln>
          </c:spPr>
          <c:invertIfNegative val="1"/>
          <c:val>
            <c:numRef>
              <c:f>'Proy. ventas'!$Z$32</c:f>
              <c:numCache>
                <c:formatCode>_-"$"\ * #,##0.00_-;\-"$"\ * #,##0.00_-;_-"$"\ * "-"??_-;_-@</c:formatCode>
                <c:ptCount val="1"/>
                <c:pt idx="0">
                  <c:v>3354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BE1B-41EF-B5CE-83AA97CAC13C}"/>
            </c:ext>
          </c:extLst>
        </c:ser>
        <c:ser>
          <c:idx val="11"/>
          <c:order val="11"/>
          <c:tx>
            <c:v>Diciembre</c:v>
          </c:tx>
          <c:spPr>
            <a:solidFill>
              <a:srgbClr val="70AD47"/>
            </a:solidFill>
            <a:ln cmpd="sng">
              <a:solidFill>
                <a:srgbClr val="000000"/>
              </a:solidFill>
              <a:prstDash val="solid"/>
            </a:ln>
          </c:spPr>
          <c:invertIfNegative val="1"/>
          <c:val>
            <c:numRef>
              <c:f>'Proy. ventas'!$AB$32</c:f>
              <c:numCache>
                <c:formatCode>_-"$"\ * #,##0.00_-;\-"$"\ * #,##0.00_-;_-"$"\ * "-"??_-;_-@</c:formatCode>
                <c:ptCount val="1"/>
                <c:pt idx="0">
                  <c:v>4343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BE1B-41EF-B5CE-83AA97CAC13C}"/>
            </c:ext>
          </c:extLst>
        </c:ser>
        <c:dLbls>
          <c:showLegendKey val="0"/>
          <c:showVal val="0"/>
          <c:showCatName val="0"/>
          <c:showSerName val="0"/>
          <c:showPercent val="0"/>
          <c:showBubbleSize val="0"/>
        </c:dLbls>
        <c:gapWidth val="150"/>
        <c:axId val="1709424144"/>
        <c:axId val="1709433936"/>
      </c:barChart>
      <c:catAx>
        <c:axId val="170942414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33936"/>
        <c:crosses val="autoZero"/>
        <c:auto val="1"/>
        <c:lblAlgn val="ctr"/>
        <c:lblOffset val="100"/>
        <c:noMultiLvlLbl val="1"/>
      </c:catAx>
      <c:valAx>
        <c:axId val="1709433936"/>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200" b="0" i="0">
                <a:solidFill>
                  <a:srgbClr val="000000"/>
                </a:solidFill>
                <a:latin typeface="+mn-lt"/>
              </a:defRPr>
            </a:pPr>
            <a:endParaRPr lang="es-AR"/>
          </a:p>
        </c:txPr>
        <c:crossAx val="1709424144"/>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s-AR" sz="1600" b="1" i="0">
                <a:solidFill>
                  <a:srgbClr val="757575"/>
                </a:solidFill>
                <a:latin typeface="+mn-lt"/>
              </a:rPr>
              <a:t>Proyección mensual de ventas 2026</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ventas'!$F$95</c:f>
              <c:numCache>
                <c:formatCode>_-"$"\ * #,##0.00_-;\-"$"\ * #,##0.00_-;_-"$"\ * "-"??_-;_-@</c:formatCode>
                <c:ptCount val="1"/>
                <c:pt idx="0">
                  <c:v>4239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C764-46E6-8350-442B308FB4A8}"/>
            </c:ext>
          </c:extLst>
        </c:ser>
        <c:ser>
          <c:idx val="1"/>
          <c:order val="1"/>
          <c:tx>
            <c:v>Febrero</c:v>
          </c:tx>
          <c:spPr>
            <a:solidFill>
              <a:srgbClr val="ED7D31"/>
            </a:solidFill>
            <a:ln cmpd="sng">
              <a:solidFill>
                <a:srgbClr val="000000"/>
              </a:solidFill>
              <a:prstDash val="solid"/>
            </a:ln>
          </c:spPr>
          <c:invertIfNegative val="1"/>
          <c:val>
            <c:numRef>
              <c:f>'Proy. ventas'!$H$95</c:f>
              <c:numCache>
                <c:formatCode>_-"$"\ * #,##0.00_-;\-"$"\ * #,##0.00_-;_-"$"\ * "-"??_-;_-@</c:formatCode>
                <c:ptCount val="1"/>
                <c:pt idx="0">
                  <c:v>4610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C764-46E6-8350-442B308FB4A8}"/>
            </c:ext>
          </c:extLst>
        </c:ser>
        <c:ser>
          <c:idx val="2"/>
          <c:order val="2"/>
          <c:tx>
            <c:v>Marzo</c:v>
          </c:tx>
          <c:spPr>
            <a:solidFill>
              <a:srgbClr val="A5A5A5"/>
            </a:solidFill>
            <a:ln cmpd="sng">
              <a:solidFill>
                <a:srgbClr val="000000"/>
              </a:solidFill>
              <a:prstDash val="solid"/>
            </a:ln>
          </c:spPr>
          <c:invertIfNegative val="1"/>
          <c:val>
            <c:numRef>
              <c:f>'Proy. ventas'!$J$95</c:f>
              <c:numCache>
                <c:formatCode>_-"$"\ * #,##0.00_-;\-"$"\ * #,##0.00_-;_-"$"\ * "-"??_-;_-@</c:formatCode>
                <c:ptCount val="1"/>
                <c:pt idx="0">
                  <c:v>4981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C764-46E6-8350-442B308FB4A8}"/>
            </c:ext>
          </c:extLst>
        </c:ser>
        <c:ser>
          <c:idx val="3"/>
          <c:order val="3"/>
          <c:tx>
            <c:v>Abril</c:v>
          </c:tx>
          <c:spPr>
            <a:solidFill>
              <a:srgbClr val="FFC000"/>
            </a:solidFill>
            <a:ln cmpd="sng">
              <a:solidFill>
                <a:srgbClr val="000000"/>
              </a:solidFill>
              <a:prstDash val="solid"/>
            </a:ln>
          </c:spPr>
          <c:invertIfNegative val="1"/>
          <c:val>
            <c:numRef>
              <c:f>'Proy. ventas'!$L$95</c:f>
              <c:numCache>
                <c:formatCode>_-"$"\ * #,##0.00_-;\-"$"\ * #,##0.00_-;_-"$"\ * "-"??_-;_-@</c:formatCode>
                <c:ptCount val="1"/>
                <c:pt idx="0">
                  <c:v>5352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C764-46E6-8350-442B308FB4A8}"/>
            </c:ext>
          </c:extLst>
        </c:ser>
        <c:ser>
          <c:idx val="4"/>
          <c:order val="4"/>
          <c:tx>
            <c:v>Mayo</c:v>
          </c:tx>
          <c:spPr>
            <a:solidFill>
              <a:srgbClr val="5B9BD5"/>
            </a:solidFill>
            <a:ln cmpd="sng">
              <a:solidFill>
                <a:srgbClr val="000000"/>
              </a:solidFill>
              <a:prstDash val="solid"/>
            </a:ln>
          </c:spPr>
          <c:invertIfNegative val="1"/>
          <c:val>
            <c:numRef>
              <c:f>'Proy. ventas'!$N$95</c:f>
              <c:numCache>
                <c:formatCode>_-"$"\ * #,##0.00_-;\-"$"\ * #,##0.00_-;_-"$"\ * "-"??_-;_-@</c:formatCode>
                <c:ptCount val="1"/>
                <c:pt idx="0">
                  <c:v>5723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C764-46E6-8350-442B308FB4A8}"/>
            </c:ext>
          </c:extLst>
        </c:ser>
        <c:ser>
          <c:idx val="5"/>
          <c:order val="5"/>
          <c:tx>
            <c:v>Junio</c:v>
          </c:tx>
          <c:spPr>
            <a:solidFill>
              <a:srgbClr val="70AD47"/>
            </a:solidFill>
            <a:ln cmpd="sng">
              <a:solidFill>
                <a:srgbClr val="000000"/>
              </a:solidFill>
              <a:prstDash val="solid"/>
            </a:ln>
          </c:spPr>
          <c:invertIfNegative val="1"/>
          <c:val>
            <c:numRef>
              <c:f>'Proy. ventas'!$P$95</c:f>
              <c:numCache>
                <c:formatCode>_-"$"\ * #,##0.00_-;\-"$"\ * #,##0.00_-;_-"$"\ * "-"??_-;_-@</c:formatCode>
                <c:ptCount val="1"/>
                <c:pt idx="0">
                  <c:v>6423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C764-46E6-8350-442B308FB4A8}"/>
            </c:ext>
          </c:extLst>
        </c:ser>
        <c:ser>
          <c:idx val="6"/>
          <c:order val="6"/>
          <c:tx>
            <c:v>Julio</c:v>
          </c:tx>
          <c:spPr>
            <a:solidFill>
              <a:srgbClr val="4472C4"/>
            </a:solidFill>
            <a:ln cmpd="sng">
              <a:solidFill>
                <a:srgbClr val="000000"/>
              </a:solidFill>
              <a:prstDash val="solid"/>
            </a:ln>
          </c:spPr>
          <c:invertIfNegative val="1"/>
          <c:val>
            <c:numRef>
              <c:f>'Proy. ventas'!$R$95</c:f>
              <c:numCache>
                <c:formatCode>_-"$"\ * #,##0.00_-;\-"$"\ * #,##0.00_-;_-"$"\ * "-"??_-;_-@</c:formatCode>
                <c:ptCount val="1"/>
                <c:pt idx="0">
                  <c:v>6633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C764-46E6-8350-442B308FB4A8}"/>
            </c:ext>
          </c:extLst>
        </c:ser>
        <c:ser>
          <c:idx val="7"/>
          <c:order val="7"/>
          <c:tx>
            <c:v>Agosto</c:v>
          </c:tx>
          <c:spPr>
            <a:solidFill>
              <a:srgbClr val="ED7D31"/>
            </a:solidFill>
            <a:ln cmpd="sng">
              <a:solidFill>
                <a:srgbClr val="000000"/>
              </a:solidFill>
              <a:prstDash val="solid"/>
            </a:ln>
          </c:spPr>
          <c:invertIfNegative val="1"/>
          <c:val>
            <c:numRef>
              <c:f>'Proy. ventas'!$T$95</c:f>
              <c:numCache>
                <c:formatCode>_-"$"\ * #,##0.00_-;\-"$"\ * #,##0.00_-;_-"$"\ * "-"??_-;_-@</c:formatCode>
                <c:ptCount val="1"/>
                <c:pt idx="0">
                  <c:v>7362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C764-46E6-8350-442B308FB4A8}"/>
            </c:ext>
          </c:extLst>
        </c:ser>
        <c:ser>
          <c:idx val="8"/>
          <c:order val="8"/>
          <c:tx>
            <c:v>Septiembre</c:v>
          </c:tx>
          <c:spPr>
            <a:solidFill>
              <a:srgbClr val="A5A5A5"/>
            </a:solidFill>
            <a:ln cmpd="sng">
              <a:solidFill>
                <a:srgbClr val="000000"/>
              </a:solidFill>
              <a:prstDash val="solid"/>
            </a:ln>
          </c:spPr>
          <c:invertIfNegative val="1"/>
          <c:val>
            <c:numRef>
              <c:f>'Proy. ventas'!$V$95</c:f>
              <c:numCache>
                <c:formatCode>_-"$"\ * #,##0.00_-;\-"$"\ * #,##0.00_-;_-"$"\ * "-"??_-;_-@</c:formatCode>
                <c:ptCount val="1"/>
                <c:pt idx="0">
                  <c:v>7512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C764-46E6-8350-442B308FB4A8}"/>
            </c:ext>
          </c:extLst>
        </c:ser>
        <c:ser>
          <c:idx val="9"/>
          <c:order val="9"/>
          <c:tx>
            <c:v>Octubre</c:v>
          </c:tx>
          <c:spPr>
            <a:solidFill>
              <a:srgbClr val="FFC000"/>
            </a:solidFill>
            <a:ln cmpd="sng">
              <a:solidFill>
                <a:srgbClr val="000000"/>
              </a:solidFill>
              <a:prstDash val="solid"/>
            </a:ln>
          </c:spPr>
          <c:invertIfNegative val="1"/>
          <c:val>
            <c:numRef>
              <c:f>'Proy. ventas'!$X$95</c:f>
              <c:numCache>
                <c:formatCode>_-"$"\ * #,##0.00_-;\-"$"\ * #,##0.00_-;_-"$"\ * "-"??_-;_-@</c:formatCode>
                <c:ptCount val="1"/>
                <c:pt idx="0">
                  <c:v>8241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C764-46E6-8350-442B308FB4A8}"/>
            </c:ext>
          </c:extLst>
        </c:ser>
        <c:ser>
          <c:idx val="10"/>
          <c:order val="10"/>
          <c:tx>
            <c:v>Noviembre</c:v>
          </c:tx>
          <c:spPr>
            <a:solidFill>
              <a:srgbClr val="5B9BD5"/>
            </a:solidFill>
            <a:ln cmpd="sng">
              <a:solidFill>
                <a:srgbClr val="000000"/>
              </a:solidFill>
              <a:prstDash val="solid"/>
            </a:ln>
          </c:spPr>
          <c:invertIfNegative val="1"/>
          <c:val>
            <c:numRef>
              <c:f>'Proy. ventas'!$Z$95</c:f>
              <c:numCache>
                <c:formatCode>_-"$"\ * #,##0.00_-;\-"$"\ * #,##0.00_-;_-"$"\ * "-"??_-;_-@</c:formatCode>
                <c:ptCount val="1"/>
                <c:pt idx="0">
                  <c:v>8760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C764-46E6-8350-442B308FB4A8}"/>
            </c:ext>
          </c:extLst>
        </c:ser>
        <c:ser>
          <c:idx val="11"/>
          <c:order val="11"/>
          <c:tx>
            <c:v>Diciembre</c:v>
          </c:tx>
          <c:spPr>
            <a:solidFill>
              <a:srgbClr val="70AD47"/>
            </a:solidFill>
            <a:ln cmpd="sng">
              <a:solidFill>
                <a:srgbClr val="000000"/>
              </a:solidFill>
              <a:prstDash val="solid"/>
            </a:ln>
          </c:spPr>
          <c:invertIfNegative val="1"/>
          <c:val>
            <c:numRef>
              <c:f>'Proy. ventas'!$AB$95</c:f>
              <c:numCache>
                <c:formatCode>_-"$"\ * #,##0.00_-;\-"$"\ * #,##0.00_-;_-"$"\ * "-"??_-;_-@</c:formatCode>
                <c:ptCount val="1"/>
                <c:pt idx="0">
                  <c:v>9294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C764-46E6-8350-442B308FB4A8}"/>
            </c:ext>
          </c:extLst>
        </c:ser>
        <c:dLbls>
          <c:showLegendKey val="0"/>
          <c:showVal val="0"/>
          <c:showCatName val="0"/>
          <c:showSerName val="0"/>
          <c:showPercent val="0"/>
          <c:showBubbleSize val="0"/>
        </c:dLbls>
        <c:gapWidth val="150"/>
        <c:axId val="1709426320"/>
        <c:axId val="1709429584"/>
      </c:barChart>
      <c:catAx>
        <c:axId val="1709426320"/>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709429584"/>
        <c:crosses val="autoZero"/>
        <c:auto val="1"/>
        <c:lblAlgn val="ctr"/>
        <c:lblOffset val="100"/>
        <c:noMultiLvlLbl val="1"/>
      </c:catAx>
      <c:valAx>
        <c:axId val="170942958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709426320"/>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s-AR" sz="1800" b="1" i="0">
                <a:solidFill>
                  <a:srgbClr val="757575"/>
                </a:solidFill>
                <a:latin typeface="+mn-lt"/>
              </a:rPr>
              <a:t>Proyección mensual de ventas 2027</a:t>
            </a:r>
          </a:p>
        </c:rich>
      </c:tx>
      <c:overlay val="0"/>
    </c:title>
    <c:autoTitleDeleted val="0"/>
    <c:plotArea>
      <c:layout/>
      <c:barChart>
        <c:barDir val="col"/>
        <c:grouping val="clustered"/>
        <c:varyColors val="1"/>
        <c:ser>
          <c:idx val="0"/>
          <c:order val="0"/>
          <c:tx>
            <c:v>Enero</c:v>
          </c:tx>
          <c:spPr>
            <a:solidFill>
              <a:srgbClr val="4472C4"/>
            </a:solidFill>
            <a:ln cmpd="sng">
              <a:solidFill>
                <a:srgbClr val="000000"/>
              </a:solidFill>
              <a:prstDash val="solid"/>
            </a:ln>
          </c:spPr>
          <c:invertIfNegative val="1"/>
          <c:val>
            <c:numRef>
              <c:f>'Proy. ventas'!$F$157</c:f>
              <c:numCache>
                <c:formatCode>_-"$"\ * #,##0.00_-;\-"$"\ * #,##0.00_-;_-"$"\ * "-"??_-;_-@</c:formatCode>
                <c:ptCount val="1"/>
                <c:pt idx="0">
                  <c:v>10070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AA30-4720-9767-185AC4CDDD3A}"/>
            </c:ext>
          </c:extLst>
        </c:ser>
        <c:ser>
          <c:idx val="1"/>
          <c:order val="1"/>
          <c:tx>
            <c:v>Febrero</c:v>
          </c:tx>
          <c:spPr>
            <a:solidFill>
              <a:srgbClr val="ED7D31"/>
            </a:solidFill>
            <a:ln cmpd="sng">
              <a:solidFill>
                <a:srgbClr val="000000"/>
              </a:solidFill>
              <a:prstDash val="solid"/>
            </a:ln>
          </c:spPr>
          <c:invertIfNegative val="1"/>
          <c:val>
            <c:numRef>
              <c:f>'Proy. ventas'!$H$157</c:f>
              <c:numCache>
                <c:formatCode>_-"$"\ * #,##0.00_-;\-"$"\ * #,##0.00_-;_-"$"\ * "-"??_-;_-@</c:formatCode>
                <c:ptCount val="1"/>
                <c:pt idx="0">
                  <c:v>10666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AA30-4720-9767-185AC4CDDD3A}"/>
            </c:ext>
          </c:extLst>
        </c:ser>
        <c:ser>
          <c:idx val="2"/>
          <c:order val="2"/>
          <c:tx>
            <c:v>Marzo</c:v>
          </c:tx>
          <c:spPr>
            <a:solidFill>
              <a:srgbClr val="A5A5A5"/>
            </a:solidFill>
            <a:ln cmpd="sng">
              <a:solidFill>
                <a:srgbClr val="000000"/>
              </a:solidFill>
              <a:prstDash val="solid"/>
            </a:ln>
          </c:spPr>
          <c:invertIfNegative val="1"/>
          <c:val>
            <c:numRef>
              <c:f>'Proy. ventas'!$J$157</c:f>
              <c:numCache>
                <c:formatCode>_-"$"\ * #,##0.00_-;\-"$"\ * #,##0.00_-;_-"$"\ * "-"??_-;_-@</c:formatCode>
                <c:ptCount val="1"/>
                <c:pt idx="0">
                  <c:v>11262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AA30-4720-9767-185AC4CDDD3A}"/>
            </c:ext>
          </c:extLst>
        </c:ser>
        <c:ser>
          <c:idx val="3"/>
          <c:order val="3"/>
          <c:tx>
            <c:v>Abril</c:v>
          </c:tx>
          <c:spPr>
            <a:solidFill>
              <a:srgbClr val="FFC000"/>
            </a:solidFill>
            <a:ln cmpd="sng">
              <a:solidFill>
                <a:srgbClr val="000000"/>
              </a:solidFill>
              <a:prstDash val="solid"/>
            </a:ln>
          </c:spPr>
          <c:invertIfNegative val="1"/>
          <c:val>
            <c:numRef>
              <c:f>'Proy. ventas'!$L$157</c:f>
              <c:numCache>
                <c:formatCode>_-"$"\ * #,##0.00_-;\-"$"\ * #,##0.00_-;_-"$"\ * "-"??_-;_-@</c:formatCode>
                <c:ptCount val="1"/>
                <c:pt idx="0">
                  <c:v>11858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3-AA30-4720-9767-185AC4CDDD3A}"/>
            </c:ext>
          </c:extLst>
        </c:ser>
        <c:ser>
          <c:idx val="4"/>
          <c:order val="4"/>
          <c:tx>
            <c:v>Mayo</c:v>
          </c:tx>
          <c:spPr>
            <a:solidFill>
              <a:srgbClr val="5B9BD5"/>
            </a:solidFill>
            <a:ln cmpd="sng">
              <a:solidFill>
                <a:srgbClr val="000000"/>
              </a:solidFill>
              <a:prstDash val="solid"/>
            </a:ln>
          </c:spPr>
          <c:invertIfNegative val="1"/>
          <c:val>
            <c:numRef>
              <c:f>'Proy. ventas'!$N$157</c:f>
              <c:numCache>
                <c:formatCode>_-"$"\ * #,##0.00_-;\-"$"\ * #,##0.00_-;_-"$"\ * "-"??_-;_-@</c:formatCode>
                <c:ptCount val="1"/>
                <c:pt idx="0">
                  <c:v>12454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4-AA30-4720-9767-185AC4CDDD3A}"/>
            </c:ext>
          </c:extLst>
        </c:ser>
        <c:ser>
          <c:idx val="5"/>
          <c:order val="5"/>
          <c:tx>
            <c:v>Junio</c:v>
          </c:tx>
          <c:spPr>
            <a:solidFill>
              <a:srgbClr val="70AD47"/>
            </a:solidFill>
            <a:ln cmpd="sng">
              <a:solidFill>
                <a:srgbClr val="000000"/>
              </a:solidFill>
              <a:prstDash val="solid"/>
            </a:ln>
          </c:spPr>
          <c:invertIfNegative val="1"/>
          <c:val>
            <c:numRef>
              <c:f>'Proy. ventas'!$P$157</c:f>
              <c:numCache>
                <c:formatCode>_-"$"\ * #,##0.00_-;\-"$"\ * #,##0.00_-;_-"$"\ * "-"??_-;_-@</c:formatCode>
                <c:ptCount val="1"/>
                <c:pt idx="0">
                  <c:v>13050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5-AA30-4720-9767-185AC4CDDD3A}"/>
            </c:ext>
          </c:extLst>
        </c:ser>
        <c:ser>
          <c:idx val="6"/>
          <c:order val="6"/>
          <c:tx>
            <c:v>Julio</c:v>
          </c:tx>
          <c:spPr>
            <a:solidFill>
              <a:srgbClr val="4472C4"/>
            </a:solidFill>
            <a:ln cmpd="sng">
              <a:solidFill>
                <a:srgbClr val="000000"/>
              </a:solidFill>
              <a:prstDash val="solid"/>
            </a:ln>
          </c:spPr>
          <c:invertIfNegative val="1"/>
          <c:val>
            <c:numRef>
              <c:f>'Proy. ventas'!$R$157</c:f>
              <c:numCache>
                <c:formatCode>_-"$"\ * #,##0.00_-;\-"$"\ * #,##0.00_-;_-"$"\ * "-"??_-;_-@</c:formatCode>
                <c:ptCount val="1"/>
                <c:pt idx="0">
                  <c:v>13646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6-AA30-4720-9767-185AC4CDDD3A}"/>
            </c:ext>
          </c:extLst>
        </c:ser>
        <c:ser>
          <c:idx val="7"/>
          <c:order val="7"/>
          <c:tx>
            <c:v>Agosto</c:v>
          </c:tx>
          <c:spPr>
            <a:solidFill>
              <a:srgbClr val="ED7D31"/>
            </a:solidFill>
            <a:ln cmpd="sng">
              <a:solidFill>
                <a:srgbClr val="000000"/>
              </a:solidFill>
              <a:prstDash val="solid"/>
            </a:ln>
          </c:spPr>
          <c:invertIfNegative val="1"/>
          <c:val>
            <c:numRef>
              <c:f>'Proy. ventas'!$T$157</c:f>
              <c:numCache>
                <c:formatCode>_-"$"\ * #,##0.00_-;\-"$"\ * #,##0.00_-;_-"$"\ * "-"??_-;_-@</c:formatCode>
                <c:ptCount val="1"/>
                <c:pt idx="0">
                  <c:v>14242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7-AA30-4720-9767-185AC4CDDD3A}"/>
            </c:ext>
          </c:extLst>
        </c:ser>
        <c:ser>
          <c:idx val="8"/>
          <c:order val="8"/>
          <c:tx>
            <c:v>Septiembre</c:v>
          </c:tx>
          <c:spPr>
            <a:solidFill>
              <a:srgbClr val="A5A5A5"/>
            </a:solidFill>
            <a:ln cmpd="sng">
              <a:solidFill>
                <a:srgbClr val="000000"/>
              </a:solidFill>
              <a:prstDash val="solid"/>
            </a:ln>
          </c:spPr>
          <c:invertIfNegative val="1"/>
          <c:val>
            <c:numRef>
              <c:f>'Proy. ventas'!$V$157</c:f>
              <c:numCache>
                <c:formatCode>_-"$"\ * #,##0.00_-;\-"$"\ * #,##0.00_-;_-"$"\ * "-"??_-;_-@</c:formatCode>
                <c:ptCount val="1"/>
                <c:pt idx="0">
                  <c:v>14838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8-AA30-4720-9767-185AC4CDDD3A}"/>
            </c:ext>
          </c:extLst>
        </c:ser>
        <c:ser>
          <c:idx val="9"/>
          <c:order val="9"/>
          <c:tx>
            <c:v>Octubre</c:v>
          </c:tx>
          <c:spPr>
            <a:solidFill>
              <a:srgbClr val="FFC000"/>
            </a:solidFill>
            <a:ln cmpd="sng">
              <a:solidFill>
                <a:srgbClr val="000000"/>
              </a:solidFill>
              <a:prstDash val="solid"/>
            </a:ln>
          </c:spPr>
          <c:invertIfNegative val="1"/>
          <c:val>
            <c:numRef>
              <c:f>'Proy. ventas'!$X$157</c:f>
              <c:numCache>
                <c:formatCode>_-"$"\ * #,##0.00_-;\-"$"\ * #,##0.00_-;_-"$"\ * "-"??_-;_-@</c:formatCode>
                <c:ptCount val="1"/>
                <c:pt idx="0">
                  <c:v>15434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9-AA30-4720-9767-185AC4CDDD3A}"/>
            </c:ext>
          </c:extLst>
        </c:ser>
        <c:ser>
          <c:idx val="10"/>
          <c:order val="10"/>
          <c:tx>
            <c:v>Noviembre</c:v>
          </c:tx>
          <c:spPr>
            <a:solidFill>
              <a:srgbClr val="5B9BD5"/>
            </a:solidFill>
            <a:ln cmpd="sng">
              <a:solidFill>
                <a:srgbClr val="000000"/>
              </a:solidFill>
              <a:prstDash val="solid"/>
            </a:ln>
          </c:spPr>
          <c:invertIfNegative val="1"/>
          <c:val>
            <c:numRef>
              <c:f>'Proy. ventas'!$Z$157</c:f>
              <c:numCache>
                <c:formatCode>_-"$"\ * #,##0.00_-;\-"$"\ * #,##0.00_-;_-"$"\ * "-"??_-;_-@</c:formatCode>
                <c:ptCount val="1"/>
                <c:pt idx="0">
                  <c:v>16030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A-AA30-4720-9767-185AC4CDDD3A}"/>
            </c:ext>
          </c:extLst>
        </c:ser>
        <c:ser>
          <c:idx val="11"/>
          <c:order val="11"/>
          <c:tx>
            <c:v>Diciembre</c:v>
          </c:tx>
          <c:spPr>
            <a:solidFill>
              <a:srgbClr val="70AD47"/>
            </a:solidFill>
            <a:ln cmpd="sng">
              <a:solidFill>
                <a:srgbClr val="000000"/>
              </a:solidFill>
              <a:prstDash val="solid"/>
            </a:ln>
          </c:spPr>
          <c:invertIfNegative val="1"/>
          <c:val>
            <c:numRef>
              <c:f>'Proy. ventas'!$AB$157</c:f>
              <c:numCache>
                <c:formatCode>_-"$"\ * #,##0.00_-;\-"$"\ * #,##0.00_-;_-"$"\ * "-"??_-;_-@</c:formatCode>
                <c:ptCount val="1"/>
                <c:pt idx="0">
                  <c:v>16497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B-AA30-4720-9767-185AC4CDDD3A}"/>
            </c:ext>
          </c:extLst>
        </c:ser>
        <c:dLbls>
          <c:showLegendKey val="0"/>
          <c:showVal val="0"/>
          <c:showCatName val="0"/>
          <c:showSerName val="0"/>
          <c:showPercent val="0"/>
          <c:showBubbleSize val="0"/>
        </c:dLbls>
        <c:gapWidth val="150"/>
        <c:axId val="1818113616"/>
        <c:axId val="1818103280"/>
      </c:barChart>
      <c:catAx>
        <c:axId val="1818113616"/>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818103280"/>
        <c:crosses val="autoZero"/>
        <c:auto val="1"/>
        <c:lblAlgn val="ctr"/>
        <c:lblOffset val="100"/>
        <c:noMultiLvlLbl val="1"/>
      </c:catAx>
      <c:valAx>
        <c:axId val="181810328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quot;$&quot;\ * #,##0.00_-;\-&quot;$&quot;\ * #,##0.00_-;_-&quot;$&quot;\ * &quot;-&quot;??_-;_-@" sourceLinked="1"/>
        <c:majorTickMark val="none"/>
        <c:minorTickMark val="none"/>
        <c:tickLblPos val="nextTo"/>
        <c:spPr>
          <a:ln>
            <a:prstDash val="solid"/>
          </a:ln>
        </c:spPr>
        <c:txPr>
          <a:bodyPr/>
          <a:lstStyle/>
          <a:p>
            <a:pPr lvl="0">
              <a:defRPr sz="1400" b="0" i="0">
                <a:solidFill>
                  <a:srgbClr val="000000"/>
                </a:solidFill>
                <a:latin typeface="+mn-lt"/>
              </a:defRPr>
            </a:pPr>
            <a:endParaRPr lang="es-AR"/>
          </a:p>
        </c:txPr>
        <c:crossAx val="1818113616"/>
        <c:crosses val="autoZero"/>
        <c:crossBetween val="between"/>
      </c:valAx>
    </c:plotArea>
    <c:legend>
      <c:legendPos val="b"/>
      <c:overlay val="0"/>
      <c:txPr>
        <a:bodyPr/>
        <a:lstStyle/>
        <a:p>
          <a:pPr lvl="0">
            <a:defRPr sz="16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lang="es-AR" sz="1800" b="1" i="0">
                <a:solidFill>
                  <a:schemeClr val="dk1"/>
                </a:solidFill>
                <a:latin typeface="+mn-lt"/>
              </a:rPr>
              <a:t>Cantidad de ventas en 2025 de productos fabricados en nuestra empresa</a:t>
            </a:r>
          </a:p>
        </c:rich>
      </c:tx>
      <c:overlay val="0"/>
    </c:title>
    <c:autoTitleDeleted val="0"/>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ventas'!$E$19</c:f>
              <c:numCache>
                <c:formatCode>_-* #,##0\ _€_-;\-* #,##0\ _€_-;_-* "-"??\ _€_-;_-@</c:formatCode>
                <c:ptCount val="1"/>
                <c:pt idx="0">
                  <c:v>0</c:v>
                </c:pt>
              </c:numCache>
            </c:numRef>
          </c:val>
          <c:smooth val="0"/>
          <c:extLst>
            <c:ext xmlns:c16="http://schemas.microsoft.com/office/drawing/2014/chart" uri="{C3380CC4-5D6E-409C-BE32-E72D297353CC}">
              <c16:uniqueId val="{00000000-EE08-48BF-98A2-A845265E91FB}"/>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ventas'!$G$19</c:f>
              <c:numCache>
                <c:formatCode>_-* #,##0\ _€_-;\-* #,##0\ _€_-;_-* "-"??\ _€_-;_-@</c:formatCode>
                <c:ptCount val="1"/>
                <c:pt idx="0">
                  <c:v>1</c:v>
                </c:pt>
              </c:numCache>
            </c:numRef>
          </c:val>
          <c:smooth val="0"/>
          <c:extLst>
            <c:ext xmlns:c16="http://schemas.microsoft.com/office/drawing/2014/chart" uri="{C3380CC4-5D6E-409C-BE32-E72D297353CC}">
              <c16:uniqueId val="{00000001-EE08-48BF-98A2-A845265E91FB}"/>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ventas'!$I$19</c:f>
              <c:numCache>
                <c:formatCode>_-* #,##0\ _€_-;\-* #,##0\ _€_-;_-* "-"??\ _€_-;_-@</c:formatCode>
                <c:ptCount val="1"/>
                <c:pt idx="0">
                  <c:v>1</c:v>
                </c:pt>
              </c:numCache>
            </c:numRef>
          </c:val>
          <c:smooth val="0"/>
          <c:extLst>
            <c:ext xmlns:c16="http://schemas.microsoft.com/office/drawing/2014/chart" uri="{C3380CC4-5D6E-409C-BE32-E72D297353CC}">
              <c16:uniqueId val="{00000002-EE08-48BF-98A2-A845265E91FB}"/>
            </c:ext>
          </c:extLst>
        </c:ser>
        <c:ser>
          <c:idx val="3"/>
          <c:order val="3"/>
          <c:spPr>
            <a:ln cmpd="sng">
              <a:solidFill>
                <a:srgbClr val="FFC000"/>
              </a:solidFill>
              <a:prstDash val="solid"/>
            </a:ln>
          </c:spPr>
          <c:marker>
            <c:symbol val="none"/>
          </c:marker>
          <c:val>
            <c:numRef>
              <c:f>'Proy. ventas'!$K$19</c:f>
              <c:numCache>
                <c:formatCode>_-* #,##0\ _€_-;\-* #,##0\ _€_-;_-* "-"??\ _€_-;_-@</c:formatCode>
                <c:ptCount val="1"/>
                <c:pt idx="0">
                  <c:v>2</c:v>
                </c:pt>
              </c:numCache>
            </c:numRef>
          </c:val>
          <c:smooth val="0"/>
          <c:extLst>
            <c:ext xmlns:c16="http://schemas.microsoft.com/office/drawing/2014/chart" uri="{C3380CC4-5D6E-409C-BE32-E72D297353CC}">
              <c16:uniqueId val="{00000003-EE08-48BF-98A2-A845265E91FB}"/>
            </c:ext>
          </c:extLst>
        </c:ser>
        <c:ser>
          <c:idx val="4"/>
          <c:order val="4"/>
          <c:spPr>
            <a:ln cmpd="sng">
              <a:solidFill>
                <a:srgbClr val="5B9BD5"/>
              </a:solidFill>
              <a:prstDash val="solid"/>
            </a:ln>
          </c:spPr>
          <c:marker>
            <c:symbol val="none"/>
          </c:marker>
          <c:val>
            <c:numRef>
              <c:f>'Proy. ventas'!$M$19</c:f>
              <c:numCache>
                <c:formatCode>_-* #,##0\ _€_-;\-* #,##0\ _€_-;_-* "-"??\ _€_-;_-@</c:formatCode>
                <c:ptCount val="1"/>
                <c:pt idx="0">
                  <c:v>2</c:v>
                </c:pt>
              </c:numCache>
            </c:numRef>
          </c:val>
          <c:smooth val="0"/>
          <c:extLst>
            <c:ext xmlns:c16="http://schemas.microsoft.com/office/drawing/2014/chart" uri="{C3380CC4-5D6E-409C-BE32-E72D297353CC}">
              <c16:uniqueId val="{00000004-EE08-48BF-98A2-A845265E91FB}"/>
            </c:ext>
          </c:extLst>
        </c:ser>
        <c:ser>
          <c:idx val="5"/>
          <c:order val="5"/>
          <c:spPr>
            <a:ln cmpd="sng">
              <a:solidFill>
                <a:srgbClr val="70AD47"/>
              </a:solidFill>
              <a:prstDash val="solid"/>
            </a:ln>
          </c:spPr>
          <c:marker>
            <c:symbol val="none"/>
          </c:marker>
          <c:val>
            <c:numRef>
              <c:f>'Proy. ventas'!$O$19</c:f>
              <c:numCache>
                <c:formatCode>_-* #,##0\ _€_-;\-* #,##0\ _€_-;_-* "-"??\ _€_-;_-@</c:formatCode>
                <c:ptCount val="1"/>
                <c:pt idx="0">
                  <c:v>3</c:v>
                </c:pt>
              </c:numCache>
            </c:numRef>
          </c:val>
          <c:smooth val="0"/>
          <c:extLst>
            <c:ext xmlns:c16="http://schemas.microsoft.com/office/drawing/2014/chart" uri="{C3380CC4-5D6E-409C-BE32-E72D297353CC}">
              <c16:uniqueId val="{00000005-EE08-48BF-98A2-A845265E91FB}"/>
            </c:ext>
          </c:extLst>
        </c:ser>
        <c:ser>
          <c:idx val="6"/>
          <c:order val="6"/>
          <c:spPr>
            <a:ln cmpd="sng">
              <a:solidFill>
                <a:srgbClr val="7C9CD6"/>
              </a:solidFill>
              <a:prstDash val="solid"/>
            </a:ln>
          </c:spPr>
          <c:marker>
            <c:symbol val="none"/>
          </c:marker>
          <c:val>
            <c:numRef>
              <c:f>'Proy. ventas'!$Q$19</c:f>
              <c:numCache>
                <c:formatCode>_-* #,##0\ _€_-;\-* #,##0\ _€_-;_-* "-"??\ _€_-;_-@</c:formatCode>
                <c:ptCount val="1"/>
                <c:pt idx="0">
                  <c:v>3</c:v>
                </c:pt>
              </c:numCache>
            </c:numRef>
          </c:val>
          <c:smooth val="0"/>
          <c:extLst>
            <c:ext xmlns:c16="http://schemas.microsoft.com/office/drawing/2014/chart" uri="{C3380CC4-5D6E-409C-BE32-E72D297353CC}">
              <c16:uniqueId val="{00000006-EE08-48BF-98A2-A845265E91FB}"/>
            </c:ext>
          </c:extLst>
        </c:ser>
        <c:ser>
          <c:idx val="7"/>
          <c:order val="7"/>
          <c:spPr>
            <a:ln cmpd="sng">
              <a:solidFill>
                <a:srgbClr val="F2A46F"/>
              </a:solidFill>
              <a:prstDash val="solid"/>
            </a:ln>
          </c:spPr>
          <c:marker>
            <c:symbol val="none"/>
          </c:marker>
          <c:val>
            <c:numRef>
              <c:f>'Proy. ventas'!$S$19</c:f>
              <c:numCache>
                <c:formatCode>_-* #,##0\ _€_-;\-* #,##0\ _€_-;_-* "-"??\ _€_-;_-@</c:formatCode>
                <c:ptCount val="1"/>
                <c:pt idx="0">
                  <c:v>3</c:v>
                </c:pt>
              </c:numCache>
            </c:numRef>
          </c:val>
          <c:smooth val="0"/>
          <c:extLst>
            <c:ext xmlns:c16="http://schemas.microsoft.com/office/drawing/2014/chart" uri="{C3380CC4-5D6E-409C-BE32-E72D297353CC}">
              <c16:uniqueId val="{00000007-EE08-48BF-98A2-A845265E91FB}"/>
            </c:ext>
          </c:extLst>
        </c:ser>
        <c:ser>
          <c:idx val="8"/>
          <c:order val="8"/>
          <c:spPr>
            <a:ln cmpd="sng">
              <a:solidFill>
                <a:srgbClr val="C0C0C0"/>
              </a:solidFill>
              <a:prstDash val="solid"/>
            </a:ln>
          </c:spPr>
          <c:marker>
            <c:symbol val="none"/>
          </c:marker>
          <c:val>
            <c:numRef>
              <c:f>'Proy. ventas'!$U$19</c:f>
              <c:numCache>
                <c:formatCode>_-* #,##0\ _€_-;\-* #,##0\ _€_-;_-* "-"??\ _€_-;_-@</c:formatCode>
                <c:ptCount val="1"/>
                <c:pt idx="0">
                  <c:v>4</c:v>
                </c:pt>
              </c:numCache>
            </c:numRef>
          </c:val>
          <c:smooth val="0"/>
          <c:extLst>
            <c:ext xmlns:c16="http://schemas.microsoft.com/office/drawing/2014/chart" uri="{C3380CC4-5D6E-409C-BE32-E72D297353CC}">
              <c16:uniqueId val="{00000008-EE08-48BF-98A2-A845265E91FB}"/>
            </c:ext>
          </c:extLst>
        </c:ser>
        <c:ser>
          <c:idx val="9"/>
          <c:order val="9"/>
          <c:spPr>
            <a:ln cmpd="sng">
              <a:solidFill>
                <a:srgbClr val="FFD34D"/>
              </a:solidFill>
              <a:prstDash val="solid"/>
            </a:ln>
          </c:spPr>
          <c:marker>
            <c:symbol val="none"/>
          </c:marker>
          <c:val>
            <c:numRef>
              <c:f>'Proy. ventas'!$W$19</c:f>
              <c:numCache>
                <c:formatCode>_-* #,##0\ _€_-;\-* #,##0\ _€_-;_-* "-"??\ _€_-;_-@</c:formatCode>
                <c:ptCount val="1"/>
                <c:pt idx="0">
                  <c:v>4</c:v>
                </c:pt>
              </c:numCache>
            </c:numRef>
          </c:val>
          <c:smooth val="0"/>
          <c:extLst>
            <c:ext xmlns:c16="http://schemas.microsoft.com/office/drawing/2014/chart" uri="{C3380CC4-5D6E-409C-BE32-E72D297353CC}">
              <c16:uniqueId val="{00000009-EE08-48BF-98A2-A845265E91FB}"/>
            </c:ext>
          </c:extLst>
        </c:ser>
        <c:ser>
          <c:idx val="10"/>
          <c:order val="10"/>
          <c:spPr>
            <a:ln cmpd="sng">
              <a:solidFill>
                <a:srgbClr val="8CB9E2"/>
              </a:solidFill>
              <a:prstDash val="solid"/>
            </a:ln>
          </c:spPr>
          <c:marker>
            <c:symbol val="none"/>
          </c:marker>
          <c:val>
            <c:numRef>
              <c:f>'Proy. ventas'!$Y$19</c:f>
              <c:numCache>
                <c:formatCode>_-* #,##0\ _€_-;\-* #,##0\ _€_-;_-* "-"??\ _€_-;_-@</c:formatCode>
                <c:ptCount val="1"/>
                <c:pt idx="0">
                  <c:v>4</c:v>
                </c:pt>
              </c:numCache>
            </c:numRef>
          </c:val>
          <c:smooth val="0"/>
          <c:extLst>
            <c:ext xmlns:c16="http://schemas.microsoft.com/office/drawing/2014/chart" uri="{C3380CC4-5D6E-409C-BE32-E72D297353CC}">
              <c16:uniqueId val="{0000000A-EE08-48BF-98A2-A845265E91FB}"/>
            </c:ext>
          </c:extLst>
        </c:ser>
        <c:ser>
          <c:idx val="11"/>
          <c:order val="11"/>
          <c:spPr>
            <a:ln cmpd="sng">
              <a:solidFill>
                <a:srgbClr val="9BC67E"/>
              </a:solidFill>
              <a:prstDash val="solid"/>
            </a:ln>
          </c:spPr>
          <c:marker>
            <c:symbol val="none"/>
          </c:marker>
          <c:val>
            <c:numRef>
              <c:f>'Proy. ventas'!$AA$19</c:f>
              <c:numCache>
                <c:formatCode>_-* #,##0\ _€_-;\-* #,##0\ _€_-;_-* "-"??\ _€_-;_-@</c:formatCode>
                <c:ptCount val="1"/>
                <c:pt idx="0">
                  <c:v>3</c:v>
                </c:pt>
              </c:numCache>
            </c:numRef>
          </c:val>
          <c:smooth val="0"/>
          <c:extLst>
            <c:ext xmlns:c16="http://schemas.microsoft.com/office/drawing/2014/chart" uri="{C3380CC4-5D6E-409C-BE32-E72D297353CC}">
              <c16:uniqueId val="{0000000B-EE08-48BF-98A2-A845265E91FB}"/>
            </c:ext>
          </c:extLst>
        </c:ser>
        <c:ser>
          <c:idx val="12"/>
          <c:order val="12"/>
          <c:spPr>
            <a:ln cmpd="sng">
              <a:solidFill>
                <a:srgbClr val="B4C7E7"/>
              </a:solidFill>
              <a:prstDash val="solid"/>
            </a:ln>
          </c:spPr>
          <c:marker>
            <c:symbol val="none"/>
          </c:marker>
          <c:val>
            <c:numRef>
              <c:f>'Proy. ventas'!$E$20</c:f>
              <c:numCache>
                <c:formatCode>_-* #,##0\ _€_-;\-* #,##0\ _€_-;_-* "-"??\ _€_-;_-@</c:formatCode>
                <c:ptCount val="1"/>
                <c:pt idx="0">
                  <c:v>0</c:v>
                </c:pt>
              </c:numCache>
            </c:numRef>
          </c:val>
          <c:smooth val="0"/>
          <c:extLst>
            <c:ext xmlns:c16="http://schemas.microsoft.com/office/drawing/2014/chart" uri="{C3380CC4-5D6E-409C-BE32-E72D297353CC}">
              <c16:uniqueId val="{0000000C-EE08-48BF-98A2-A845265E91FB}"/>
            </c:ext>
          </c:extLst>
        </c:ser>
        <c:ser>
          <c:idx val="13"/>
          <c:order val="13"/>
          <c:spPr>
            <a:ln cmpd="sng">
              <a:solidFill>
                <a:srgbClr val="F8CBAD"/>
              </a:solidFill>
              <a:prstDash val="solid"/>
            </a:ln>
          </c:spPr>
          <c:marker>
            <c:symbol val="none"/>
          </c:marker>
          <c:val>
            <c:numRef>
              <c:f>'Proy. ventas'!$G$20</c:f>
              <c:numCache>
                <c:formatCode>_-* #,##0\ _€_-;\-* #,##0\ _€_-;_-* "-"??\ _€_-;_-@</c:formatCode>
                <c:ptCount val="1"/>
                <c:pt idx="0">
                  <c:v>1</c:v>
                </c:pt>
              </c:numCache>
            </c:numRef>
          </c:val>
          <c:smooth val="0"/>
          <c:extLst>
            <c:ext xmlns:c16="http://schemas.microsoft.com/office/drawing/2014/chart" uri="{C3380CC4-5D6E-409C-BE32-E72D297353CC}">
              <c16:uniqueId val="{0000000D-EE08-48BF-98A2-A845265E91FB}"/>
            </c:ext>
          </c:extLst>
        </c:ser>
        <c:ser>
          <c:idx val="14"/>
          <c:order val="14"/>
          <c:spPr>
            <a:ln cmpd="sng">
              <a:solidFill>
                <a:srgbClr val="DBDBDB"/>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0E-EE08-48BF-98A2-A845265E91FB}"/>
            </c:ext>
          </c:extLst>
        </c:ser>
        <c:ser>
          <c:idx val="15"/>
          <c:order val="15"/>
          <c:spPr>
            <a:ln cmpd="sng">
              <a:solidFill>
                <a:srgbClr val="FFE699"/>
              </a:solidFill>
              <a:prstDash val="solid"/>
            </a:ln>
          </c:spPr>
          <c:marker>
            <c:symbol val="none"/>
          </c:marker>
          <c:val>
            <c:numRef>
              <c:f>'Proy. ventas'!$I$20</c:f>
              <c:numCache>
                <c:formatCode>_-* #,##0\ _€_-;\-* #,##0\ _€_-;_-* "-"??\ _€_-;_-@</c:formatCode>
                <c:ptCount val="1"/>
                <c:pt idx="0">
                  <c:v>3</c:v>
                </c:pt>
              </c:numCache>
            </c:numRef>
          </c:val>
          <c:smooth val="0"/>
          <c:extLst>
            <c:ext xmlns:c16="http://schemas.microsoft.com/office/drawing/2014/chart" uri="{C3380CC4-5D6E-409C-BE32-E72D297353CC}">
              <c16:uniqueId val="{0000000F-EE08-48BF-98A2-A845265E91FB}"/>
            </c:ext>
          </c:extLst>
        </c:ser>
        <c:ser>
          <c:idx val="16"/>
          <c:order val="16"/>
          <c:spPr>
            <a:ln cmpd="sng">
              <a:solidFill>
                <a:srgbClr val="BDD7EE"/>
              </a:solidFill>
              <a:prstDash val="solid"/>
            </a:ln>
          </c:spPr>
          <c:marker>
            <c:symbol val="none"/>
          </c:marker>
          <c:val>
            <c:numRef>
              <c:f>'Proy. ventas'!$K$20</c:f>
              <c:numCache>
                <c:formatCode>_-* #,##0\ _€_-;\-* #,##0\ _€_-;_-* "-"??\ _€_-;_-@</c:formatCode>
                <c:ptCount val="1"/>
                <c:pt idx="0">
                  <c:v>4</c:v>
                </c:pt>
              </c:numCache>
            </c:numRef>
          </c:val>
          <c:smooth val="0"/>
          <c:extLst>
            <c:ext xmlns:c16="http://schemas.microsoft.com/office/drawing/2014/chart" uri="{C3380CC4-5D6E-409C-BE32-E72D297353CC}">
              <c16:uniqueId val="{00000010-EE08-48BF-98A2-A845265E91FB}"/>
            </c:ext>
          </c:extLst>
        </c:ser>
        <c:ser>
          <c:idx val="17"/>
          <c:order val="17"/>
          <c:spPr>
            <a:ln cmpd="sng">
              <a:solidFill>
                <a:srgbClr val="C6DEB5"/>
              </a:solidFill>
              <a:prstDash val="solid"/>
            </a:ln>
          </c:spPr>
          <c:marker>
            <c:symbol val="none"/>
          </c:marker>
          <c:val>
            <c:numRef>
              <c:f>'Proy. ventas'!$M$20</c:f>
              <c:numCache>
                <c:formatCode>_-* #,##0\ _€_-;\-* #,##0\ _€_-;_-* "-"??\ _€_-;_-@</c:formatCode>
                <c:ptCount val="1"/>
                <c:pt idx="0">
                  <c:v>5</c:v>
                </c:pt>
              </c:numCache>
            </c:numRef>
          </c:val>
          <c:smooth val="0"/>
          <c:extLst>
            <c:ext xmlns:c16="http://schemas.microsoft.com/office/drawing/2014/chart" uri="{C3380CC4-5D6E-409C-BE32-E72D297353CC}">
              <c16:uniqueId val="{00000011-EE08-48BF-98A2-A845265E91FB}"/>
            </c:ext>
          </c:extLst>
        </c:ser>
        <c:ser>
          <c:idx val="18"/>
          <c:order val="18"/>
          <c:spPr>
            <a:ln cmpd="sng">
              <a:solidFill>
                <a:srgbClr val="ECF1F9"/>
              </a:solidFill>
              <a:prstDash val="solid"/>
            </a:ln>
          </c:spPr>
          <c:marker>
            <c:symbol val="none"/>
          </c:marker>
          <c:val>
            <c:numRef>
              <c:f>'Proy. ventas'!$O$20</c:f>
              <c:numCache>
                <c:formatCode>_-* #,##0\ _€_-;\-* #,##0\ _€_-;_-* "-"??\ _€_-;_-@</c:formatCode>
                <c:ptCount val="1"/>
                <c:pt idx="0">
                  <c:v>5</c:v>
                </c:pt>
              </c:numCache>
            </c:numRef>
          </c:val>
          <c:smooth val="0"/>
          <c:extLst>
            <c:ext xmlns:c16="http://schemas.microsoft.com/office/drawing/2014/chart" uri="{C3380CC4-5D6E-409C-BE32-E72D297353CC}">
              <c16:uniqueId val="{00000012-EE08-48BF-98A2-A845265E91FB}"/>
            </c:ext>
          </c:extLst>
        </c:ser>
        <c:ser>
          <c:idx val="19"/>
          <c:order val="19"/>
          <c:spPr>
            <a:ln cmpd="sng">
              <a:solidFill>
                <a:srgbClr val="FDF2EA"/>
              </a:solidFill>
              <a:prstDash val="solid"/>
            </a:ln>
          </c:spPr>
          <c:marker>
            <c:symbol val="none"/>
          </c:marker>
          <c:val>
            <c:numRef>
              <c:f>'Proy. ventas'!$Q$20</c:f>
              <c:numCache>
                <c:formatCode>_-* #,##0\ _€_-;\-* #,##0\ _€_-;_-* "-"??\ _€_-;_-@</c:formatCode>
                <c:ptCount val="1"/>
                <c:pt idx="0">
                  <c:v>6</c:v>
                </c:pt>
              </c:numCache>
            </c:numRef>
          </c:val>
          <c:smooth val="0"/>
          <c:extLst>
            <c:ext xmlns:c16="http://schemas.microsoft.com/office/drawing/2014/chart" uri="{C3380CC4-5D6E-409C-BE32-E72D297353CC}">
              <c16:uniqueId val="{00000013-EE08-48BF-98A2-A845265E91FB}"/>
            </c:ext>
          </c:extLst>
        </c:ser>
        <c:ser>
          <c:idx val="20"/>
          <c:order val="20"/>
          <c:spPr>
            <a:ln cmpd="sng">
              <a:solidFill>
                <a:srgbClr val="F6F6F6"/>
              </a:solidFill>
              <a:prstDash val="solid"/>
            </a:ln>
          </c:spPr>
          <c:marker>
            <c:symbol val="none"/>
          </c:marker>
          <c:val>
            <c:numRef>
              <c:f>'Proy. ventas'!$S$20</c:f>
              <c:numCache>
                <c:formatCode>_-* #,##0\ _€_-;\-* #,##0\ _€_-;_-* "-"??\ _€_-;_-@</c:formatCode>
                <c:ptCount val="1"/>
                <c:pt idx="0">
                  <c:v>7</c:v>
                </c:pt>
              </c:numCache>
            </c:numRef>
          </c:val>
          <c:smooth val="0"/>
          <c:extLst>
            <c:ext xmlns:c16="http://schemas.microsoft.com/office/drawing/2014/chart" uri="{C3380CC4-5D6E-409C-BE32-E72D297353CC}">
              <c16:uniqueId val="{00000014-EE08-48BF-98A2-A845265E91FB}"/>
            </c:ext>
          </c:extLst>
        </c:ser>
        <c:ser>
          <c:idx val="21"/>
          <c:order val="21"/>
          <c:spPr>
            <a:ln cmpd="sng">
              <a:solidFill>
                <a:srgbClr val="FFF9E6"/>
              </a:solidFill>
              <a:prstDash val="solid"/>
            </a:ln>
          </c:spPr>
          <c:marker>
            <c:symbol val="none"/>
          </c:marker>
          <c:val>
            <c:numRef>
              <c:f>'Proy. ventas'!$U$20</c:f>
              <c:numCache>
                <c:formatCode>_-* #,##0\ _€_-;\-* #,##0\ _€_-;_-* "-"??\ _€_-;_-@</c:formatCode>
                <c:ptCount val="1"/>
                <c:pt idx="0">
                  <c:v>7</c:v>
                </c:pt>
              </c:numCache>
            </c:numRef>
          </c:val>
          <c:smooth val="0"/>
          <c:extLst>
            <c:ext xmlns:c16="http://schemas.microsoft.com/office/drawing/2014/chart" uri="{C3380CC4-5D6E-409C-BE32-E72D297353CC}">
              <c16:uniqueId val="{00000015-EE08-48BF-98A2-A845265E91FB}"/>
            </c:ext>
          </c:extLst>
        </c:ser>
        <c:ser>
          <c:idx val="22"/>
          <c:order val="22"/>
          <c:spPr>
            <a:ln cmpd="sng">
              <a:solidFill>
                <a:srgbClr val="EFF5FB"/>
              </a:solidFill>
              <a:prstDash val="solid"/>
            </a:ln>
          </c:spPr>
          <c:marker>
            <c:symbol val="none"/>
          </c:marker>
          <c:val>
            <c:numRef>
              <c:f>'Proy. ventas'!$W$20</c:f>
              <c:numCache>
                <c:formatCode>_-* #,##0\ _€_-;\-* #,##0\ _€_-;_-* "-"??\ _€_-;_-@</c:formatCode>
                <c:ptCount val="1"/>
                <c:pt idx="0">
                  <c:v>8</c:v>
                </c:pt>
              </c:numCache>
            </c:numRef>
          </c:val>
          <c:smooth val="0"/>
          <c:extLst>
            <c:ext xmlns:c16="http://schemas.microsoft.com/office/drawing/2014/chart" uri="{C3380CC4-5D6E-409C-BE32-E72D297353CC}">
              <c16:uniqueId val="{00000016-EE08-48BF-98A2-A845265E91FB}"/>
            </c:ext>
          </c:extLst>
        </c:ser>
        <c:ser>
          <c:idx val="23"/>
          <c:order val="23"/>
          <c:spPr>
            <a:ln cmpd="sng">
              <a:solidFill>
                <a:srgbClr val="F1F7ED"/>
              </a:solidFill>
              <a:prstDash val="solid"/>
            </a:ln>
          </c:spPr>
          <c:marker>
            <c:symbol val="none"/>
          </c:marker>
          <c:val>
            <c:numRef>
              <c:f>'Proy. ventas'!$Y$20</c:f>
              <c:numCache>
                <c:formatCode>_-* #,##0\ _€_-;\-* #,##0\ _€_-;_-* "-"??\ _€_-;_-@</c:formatCode>
                <c:ptCount val="1"/>
                <c:pt idx="0">
                  <c:v>8</c:v>
                </c:pt>
              </c:numCache>
            </c:numRef>
          </c:val>
          <c:smooth val="0"/>
          <c:extLst>
            <c:ext xmlns:c16="http://schemas.microsoft.com/office/drawing/2014/chart" uri="{C3380CC4-5D6E-409C-BE32-E72D297353CC}">
              <c16:uniqueId val="{00000017-EE08-48BF-98A2-A845265E91FB}"/>
            </c:ext>
          </c:extLst>
        </c:ser>
        <c:ser>
          <c:idx val="24"/>
          <c:order val="24"/>
          <c:spPr>
            <a:ln cmpd="sng">
              <a:solidFill>
                <a:srgbClr val="241B0B"/>
              </a:solidFill>
              <a:prstDash val="solid"/>
            </a:ln>
          </c:spPr>
          <c:marker>
            <c:symbol val="none"/>
          </c:marker>
          <c:val>
            <c:numRef>
              <c:f>'Proy. ventas'!$AA$20</c:f>
              <c:numCache>
                <c:formatCode>_-* #,##0\ _€_-;\-* #,##0\ _€_-;_-* "-"??\ _€_-;_-@</c:formatCode>
                <c:ptCount val="1"/>
                <c:pt idx="0">
                  <c:v>8</c:v>
                </c:pt>
              </c:numCache>
            </c:numRef>
          </c:val>
          <c:smooth val="0"/>
          <c:extLst>
            <c:ext xmlns:c16="http://schemas.microsoft.com/office/drawing/2014/chart" uri="{C3380CC4-5D6E-409C-BE32-E72D297353CC}">
              <c16:uniqueId val="{00000018-EE08-48BF-98A2-A845265E91FB}"/>
            </c:ext>
          </c:extLst>
        </c:ser>
        <c:ser>
          <c:idx val="25"/>
          <c:order val="25"/>
          <c:spPr>
            <a:ln cmpd="sng">
              <a:solidFill>
                <a:srgbClr val="031928"/>
              </a:solidFill>
              <a:prstDash val="solid"/>
            </a:ln>
          </c:spPr>
          <c:marker>
            <c:symbol val="none"/>
          </c:marker>
          <c:val>
            <c:numRef>
              <c:f>'Proy. ventas'!$E$21</c:f>
              <c:numCache>
                <c:formatCode>_-* #,##0\ _€_-;\-* #,##0\ _€_-;_-* "-"??\ _€_-;_-@</c:formatCode>
                <c:ptCount val="1"/>
                <c:pt idx="0">
                  <c:v>0</c:v>
                </c:pt>
              </c:numCache>
            </c:numRef>
          </c:val>
          <c:smooth val="0"/>
          <c:extLst>
            <c:ext xmlns:c16="http://schemas.microsoft.com/office/drawing/2014/chart" uri="{C3380CC4-5D6E-409C-BE32-E72D297353CC}">
              <c16:uniqueId val="{00000019-EE08-48BF-98A2-A845265E91FB}"/>
            </c:ext>
          </c:extLst>
        </c:ser>
        <c:ser>
          <c:idx val="26"/>
          <c:order val="26"/>
          <c:spPr>
            <a:ln cmpd="sng">
              <a:solidFill>
                <a:srgbClr val="111111"/>
              </a:solidFill>
              <a:prstDash val="solid"/>
            </a:ln>
          </c:spPr>
          <c:marker>
            <c:symbol val="none"/>
          </c:marker>
          <c:val>
            <c:numRef>
              <c:f>'Proy. ventas'!$G$21</c:f>
              <c:numCache>
                <c:formatCode>_-* #,##0\ _€_-;\-* #,##0\ _€_-;_-* "-"??\ _€_-;_-@</c:formatCode>
                <c:ptCount val="1"/>
                <c:pt idx="0">
                  <c:v>0</c:v>
                </c:pt>
              </c:numCache>
            </c:numRef>
          </c:val>
          <c:smooth val="0"/>
          <c:extLst>
            <c:ext xmlns:c16="http://schemas.microsoft.com/office/drawing/2014/chart" uri="{C3380CC4-5D6E-409C-BE32-E72D297353CC}">
              <c16:uniqueId val="{0000001A-EE08-48BF-98A2-A845265E91FB}"/>
            </c:ext>
          </c:extLst>
        </c:ser>
        <c:ser>
          <c:idx val="27"/>
          <c:order val="27"/>
          <c:spPr>
            <a:ln cmpd="sng">
              <a:solidFill>
                <a:srgbClr val="FF0C32"/>
              </a:solidFill>
              <a:prstDash val="solid"/>
            </a:ln>
          </c:spPr>
          <c:marker>
            <c:symbol val="none"/>
          </c:marker>
          <c:val>
            <c:numRef>
              <c:f>'Proy. ventas'!$I$21</c:f>
              <c:numCache>
                <c:formatCode>_-* #,##0\ _€_-;\-* #,##0\ _€_-;_-* "-"??\ _€_-;_-@</c:formatCode>
                <c:ptCount val="1"/>
                <c:pt idx="0">
                  <c:v>0</c:v>
                </c:pt>
              </c:numCache>
            </c:numRef>
          </c:val>
          <c:smooth val="0"/>
          <c:extLst>
            <c:ext xmlns:c16="http://schemas.microsoft.com/office/drawing/2014/chart" uri="{C3380CC4-5D6E-409C-BE32-E72D297353CC}">
              <c16:uniqueId val="{0000001B-EE08-48BF-98A2-A845265E91FB}"/>
            </c:ext>
          </c:extLst>
        </c:ser>
        <c:ser>
          <c:idx val="28"/>
          <c:order val="28"/>
          <c:spPr>
            <a:ln cmpd="sng">
              <a:solidFill>
                <a:srgbClr val="201307"/>
              </a:solidFill>
              <a:prstDash val="solid"/>
            </a:ln>
          </c:spPr>
          <c:marker>
            <c:symbol val="none"/>
          </c:marker>
          <c:val>
            <c:numRef>
              <c:f>'Proy. ventas'!$K$21</c:f>
              <c:numCache>
                <c:formatCode>_-* #,##0\ _€_-;\-* #,##0\ _€_-;_-* "-"??\ _€_-;_-@</c:formatCode>
                <c:ptCount val="1"/>
                <c:pt idx="0">
                  <c:v>0</c:v>
                </c:pt>
              </c:numCache>
            </c:numRef>
          </c:val>
          <c:smooth val="0"/>
          <c:extLst>
            <c:ext xmlns:c16="http://schemas.microsoft.com/office/drawing/2014/chart" uri="{C3380CC4-5D6E-409C-BE32-E72D297353CC}">
              <c16:uniqueId val="{0000001C-EE08-48BF-98A2-A845265E91FB}"/>
            </c:ext>
          </c:extLst>
        </c:ser>
        <c:ser>
          <c:idx val="29"/>
          <c:order val="29"/>
          <c:spPr>
            <a:ln cmpd="sng">
              <a:solidFill>
                <a:srgbClr val="1C0F24"/>
              </a:solidFill>
              <a:prstDash val="solid"/>
            </a:ln>
          </c:spPr>
          <c:marker>
            <c:symbol val="none"/>
          </c:marker>
          <c:val>
            <c:numRef>
              <c:f>'Proy. ventas'!$M$21</c:f>
              <c:numCache>
                <c:formatCode>_-* #,##0\ _€_-;\-* #,##0\ _€_-;_-* "-"??\ _€_-;_-@</c:formatCode>
                <c:ptCount val="1"/>
                <c:pt idx="0">
                  <c:v>1</c:v>
                </c:pt>
              </c:numCache>
            </c:numRef>
          </c:val>
          <c:smooth val="0"/>
          <c:extLst>
            <c:ext xmlns:c16="http://schemas.microsoft.com/office/drawing/2014/chart" uri="{C3380CC4-5D6E-409C-BE32-E72D297353CC}">
              <c16:uniqueId val="{0000001D-EE08-48BF-98A2-A845265E91FB}"/>
            </c:ext>
          </c:extLst>
        </c:ser>
        <c:ser>
          <c:idx val="30"/>
          <c:order val="30"/>
          <c:spPr>
            <a:ln cmpd="sng">
              <a:solidFill>
                <a:srgbClr val="5D461D"/>
              </a:solidFill>
              <a:prstDash val="solid"/>
            </a:ln>
          </c:spPr>
          <c:marker>
            <c:symbol val="none"/>
          </c:marker>
          <c:val>
            <c:numRef>
              <c:f>'Proy. ventas'!$O$21</c:f>
              <c:numCache>
                <c:formatCode>_-* #,##0\ _€_-;\-* #,##0\ _€_-;_-* "-"??\ _€_-;_-@</c:formatCode>
                <c:ptCount val="1"/>
                <c:pt idx="0">
                  <c:v>1</c:v>
                </c:pt>
              </c:numCache>
            </c:numRef>
          </c:val>
          <c:smooth val="0"/>
          <c:extLst>
            <c:ext xmlns:c16="http://schemas.microsoft.com/office/drawing/2014/chart" uri="{C3380CC4-5D6E-409C-BE32-E72D297353CC}">
              <c16:uniqueId val="{0000001E-EE08-48BF-98A2-A845265E91FB}"/>
            </c:ext>
          </c:extLst>
        </c:ser>
        <c:ser>
          <c:idx val="31"/>
          <c:order val="31"/>
          <c:spPr>
            <a:ln cmpd="sng">
              <a:solidFill>
                <a:srgbClr val="084066"/>
              </a:solidFill>
              <a:prstDash val="solid"/>
            </a:ln>
          </c:spPr>
          <c:marker>
            <c:symbol val="none"/>
          </c:marker>
          <c:val>
            <c:numRef>
              <c:f>'Proy. ventas'!$Q$21</c:f>
              <c:numCache>
                <c:formatCode>_-* #,##0\ _€_-;\-* #,##0\ _€_-;_-* "-"??\ _€_-;_-@</c:formatCode>
                <c:ptCount val="1"/>
                <c:pt idx="0">
                  <c:v>1</c:v>
                </c:pt>
              </c:numCache>
            </c:numRef>
          </c:val>
          <c:smooth val="0"/>
          <c:extLst>
            <c:ext xmlns:c16="http://schemas.microsoft.com/office/drawing/2014/chart" uri="{C3380CC4-5D6E-409C-BE32-E72D297353CC}">
              <c16:uniqueId val="{0000001F-EE08-48BF-98A2-A845265E91FB}"/>
            </c:ext>
          </c:extLst>
        </c:ser>
        <c:ser>
          <c:idx val="32"/>
          <c:order val="32"/>
          <c:spPr>
            <a:ln cmpd="sng">
              <a:solidFill>
                <a:srgbClr val="2C2C2C"/>
              </a:solidFill>
              <a:prstDash val="solid"/>
            </a:ln>
          </c:spPr>
          <c:marker>
            <c:symbol val="none"/>
          </c:marker>
          <c:val>
            <c:numRef>
              <c:f>'Proy. ventas'!$S$21</c:f>
              <c:numCache>
                <c:formatCode>_-* #,##0\ _€_-;\-* #,##0\ _€_-;_-* "-"??\ _€_-;_-@</c:formatCode>
                <c:ptCount val="1"/>
                <c:pt idx="0">
                  <c:v>1</c:v>
                </c:pt>
              </c:numCache>
            </c:numRef>
          </c:val>
          <c:smooth val="0"/>
          <c:extLst>
            <c:ext xmlns:c16="http://schemas.microsoft.com/office/drawing/2014/chart" uri="{C3380CC4-5D6E-409C-BE32-E72D297353CC}">
              <c16:uniqueId val="{00000020-EE08-48BF-98A2-A845265E91FB}"/>
            </c:ext>
          </c:extLst>
        </c:ser>
        <c:ser>
          <c:idx val="33"/>
          <c:order val="33"/>
          <c:spPr>
            <a:ln cmpd="sng">
              <a:solidFill>
                <a:srgbClr val="FF1F7F"/>
              </a:solidFill>
              <a:prstDash val="solid"/>
            </a:ln>
          </c:spPr>
          <c:marker>
            <c:symbol val="none"/>
          </c:marker>
          <c:val>
            <c:numRef>
              <c:f>'Proy. ventas'!$U$21</c:f>
              <c:numCache>
                <c:formatCode>_-* #,##0\ _€_-;\-* #,##0\ _€_-;_-* "-"??\ _€_-;_-@</c:formatCode>
                <c:ptCount val="1"/>
                <c:pt idx="0">
                  <c:v>1</c:v>
                </c:pt>
              </c:numCache>
            </c:numRef>
          </c:val>
          <c:smooth val="0"/>
          <c:extLst>
            <c:ext xmlns:c16="http://schemas.microsoft.com/office/drawing/2014/chart" uri="{C3380CC4-5D6E-409C-BE32-E72D297353CC}">
              <c16:uniqueId val="{00000021-EE08-48BF-98A2-A845265E91FB}"/>
            </c:ext>
          </c:extLst>
        </c:ser>
        <c:ser>
          <c:idx val="34"/>
          <c:order val="34"/>
          <c:spPr>
            <a:ln cmpd="sng">
              <a:solidFill>
                <a:srgbClr val="513114"/>
              </a:solidFill>
              <a:prstDash val="solid"/>
            </a:ln>
          </c:spPr>
          <c:marker>
            <c:symbol val="none"/>
          </c:marker>
          <c:val>
            <c:numRef>
              <c:f>'Proy. ventas'!$W$21</c:f>
              <c:numCache>
                <c:formatCode>_-* #,##0\ _€_-;\-* #,##0\ _€_-;_-* "-"??\ _€_-;_-@</c:formatCode>
                <c:ptCount val="1"/>
                <c:pt idx="0">
                  <c:v>1</c:v>
                </c:pt>
              </c:numCache>
            </c:numRef>
          </c:val>
          <c:smooth val="0"/>
          <c:extLst>
            <c:ext xmlns:c16="http://schemas.microsoft.com/office/drawing/2014/chart" uri="{C3380CC4-5D6E-409C-BE32-E72D297353CC}">
              <c16:uniqueId val="{00000022-EE08-48BF-98A2-A845265E91FB}"/>
            </c:ext>
          </c:extLst>
        </c:ser>
        <c:ser>
          <c:idx val="35"/>
          <c:order val="35"/>
          <c:spPr>
            <a:ln cmpd="sng">
              <a:solidFill>
                <a:srgbClr val="47285B"/>
              </a:solidFill>
              <a:prstDash val="solid"/>
            </a:ln>
          </c:spPr>
          <c:marker>
            <c:symbol val="none"/>
          </c:marker>
          <c:val>
            <c:numRef>
              <c:f>'Proy. ventas'!$Y$21</c:f>
              <c:numCache>
                <c:formatCode>_-* #,##0\ _€_-;\-* #,##0\ _€_-;_-* "-"??\ _€_-;_-@</c:formatCode>
                <c:ptCount val="1"/>
                <c:pt idx="0">
                  <c:v>1</c:v>
                </c:pt>
              </c:numCache>
            </c:numRef>
          </c:val>
          <c:smooth val="0"/>
          <c:extLst>
            <c:ext xmlns:c16="http://schemas.microsoft.com/office/drawing/2014/chart" uri="{C3380CC4-5D6E-409C-BE32-E72D297353CC}">
              <c16:uniqueId val="{00000023-EE08-48BF-98A2-A845265E91FB}"/>
            </c:ext>
          </c:extLst>
        </c:ser>
        <c:ser>
          <c:idx val="36"/>
          <c:order val="36"/>
          <c:spPr>
            <a:ln cmpd="sng">
              <a:solidFill>
                <a:srgbClr val="966108"/>
              </a:solidFill>
              <a:prstDash val="solid"/>
            </a:ln>
          </c:spPr>
          <c:marker>
            <c:symbol val="none"/>
          </c:marker>
          <c:val>
            <c:numRef>
              <c:f>'Proy. ventas'!$AA$21</c:f>
              <c:numCache>
                <c:formatCode>_-* #,##0\ _€_-;\-* #,##0\ _€_-;_-* "-"??\ _€_-;_-@</c:formatCode>
                <c:ptCount val="1"/>
                <c:pt idx="0">
                  <c:v>3</c:v>
                </c:pt>
              </c:numCache>
            </c:numRef>
          </c:val>
          <c:smooth val="0"/>
          <c:extLst>
            <c:ext xmlns:c16="http://schemas.microsoft.com/office/drawing/2014/chart" uri="{C3380CC4-5D6E-409C-BE32-E72D297353CC}">
              <c16:uniqueId val="{00000024-EE08-48BF-98A2-A845265E91FB}"/>
            </c:ext>
          </c:extLst>
        </c:ser>
        <c:dLbls>
          <c:showLegendKey val="0"/>
          <c:showVal val="0"/>
          <c:showCatName val="0"/>
          <c:showSerName val="0"/>
          <c:showPercent val="0"/>
          <c:showBubbleSize val="0"/>
        </c:dLbls>
        <c:marker val="1"/>
        <c:smooth val="0"/>
        <c:axId val="1818101104"/>
        <c:axId val="1818108720"/>
      </c:lineChart>
      <c:catAx>
        <c:axId val="1818101104"/>
        <c:scaling>
          <c:orientation val="minMax"/>
        </c:scaling>
        <c:delete val="0"/>
        <c:axPos val="b"/>
        <c:title>
          <c:tx>
            <c:rich>
              <a:bodyPr/>
              <a:lstStyle/>
              <a:p>
                <a:pPr lvl="0">
                  <a:defRPr b="0">
                    <a:solidFill>
                      <a:srgbClr val="000000"/>
                    </a:solidFill>
                    <a:latin typeface="+mn-lt"/>
                  </a:defRPr>
                </a:pPr>
                <a:r>
                  <a:rPr lang="es-AR"/>
                  <a:t>None</a:t>
                </a:r>
              </a:p>
            </c:rich>
          </c:tx>
          <c:overlay val="0"/>
        </c:title>
        <c:numFmt formatCode="General" sourceLinked="1"/>
        <c:majorTickMark val="out"/>
        <c:minorTickMark val="none"/>
        <c:tickLblPos val="nextTo"/>
        <c:txPr>
          <a:bodyPr/>
          <a:lstStyle/>
          <a:p>
            <a:pPr lvl="0">
              <a:defRPr sz="2400" b="0" i="0">
                <a:solidFill>
                  <a:schemeClr val="dk1"/>
                </a:solidFill>
                <a:latin typeface="+mn-lt"/>
              </a:defRPr>
            </a:pPr>
            <a:endParaRPr lang="es-AR"/>
          </a:p>
        </c:txPr>
        <c:crossAx val="1818108720"/>
        <c:crosses val="autoZero"/>
        <c:auto val="1"/>
        <c:lblAlgn val="ctr"/>
        <c:lblOffset val="100"/>
        <c:noMultiLvlLbl val="1"/>
      </c:catAx>
      <c:valAx>
        <c:axId val="1818108720"/>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rPr lang="es-AR"/>
                  <a:t>None</a:t>
                </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104"/>
        <c:crosses val="autoZero"/>
        <c:crossBetween val="between"/>
      </c:valAx>
    </c:plotArea>
    <c:legend>
      <c:legendPos val="b"/>
      <c:overlay val="0"/>
      <c:txPr>
        <a:bodyPr/>
        <a:lstStyle/>
        <a:p>
          <a:pPr lvl="0">
            <a:defRPr sz="20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ventas'!$E$82</c:f>
              <c:numCache>
                <c:formatCode>_-* #,##0\ _€_-;\-* #,##0\ _€_-;_-* "-"??\ _€_-;_-@</c:formatCode>
                <c:ptCount val="1"/>
                <c:pt idx="0">
                  <c:v>4</c:v>
                </c:pt>
              </c:numCache>
            </c:numRef>
          </c:val>
          <c:smooth val="0"/>
          <c:extLst>
            <c:ext xmlns:c16="http://schemas.microsoft.com/office/drawing/2014/chart" uri="{C3380CC4-5D6E-409C-BE32-E72D297353CC}">
              <c16:uniqueId val="{00000000-0C1F-4460-BB7E-E57A915EF16D}"/>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ventas'!$G$82</c:f>
              <c:numCache>
                <c:formatCode>_-* #,##0\ _€_-;\-* #,##0\ _€_-;_-* "-"??\ _€_-;_-@</c:formatCode>
                <c:ptCount val="1"/>
                <c:pt idx="0">
                  <c:v>4</c:v>
                </c:pt>
              </c:numCache>
            </c:numRef>
          </c:val>
          <c:smooth val="0"/>
          <c:extLst>
            <c:ext xmlns:c16="http://schemas.microsoft.com/office/drawing/2014/chart" uri="{C3380CC4-5D6E-409C-BE32-E72D297353CC}">
              <c16:uniqueId val="{00000001-0C1F-4460-BB7E-E57A915EF16D}"/>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ventas'!$I$82</c:f>
              <c:numCache>
                <c:formatCode>_-* #,##0\ _€_-;\-* #,##0\ _€_-;_-* "-"??\ _€_-;_-@</c:formatCode>
                <c:ptCount val="1"/>
                <c:pt idx="0">
                  <c:v>4</c:v>
                </c:pt>
              </c:numCache>
            </c:numRef>
          </c:val>
          <c:smooth val="0"/>
          <c:extLst>
            <c:ext xmlns:c16="http://schemas.microsoft.com/office/drawing/2014/chart" uri="{C3380CC4-5D6E-409C-BE32-E72D297353CC}">
              <c16:uniqueId val="{00000002-0C1F-4460-BB7E-E57A915EF16D}"/>
            </c:ext>
          </c:extLst>
        </c:ser>
        <c:ser>
          <c:idx val="3"/>
          <c:order val="3"/>
          <c:spPr>
            <a:ln cmpd="sng">
              <a:solidFill>
                <a:srgbClr val="FFC000"/>
              </a:solidFill>
              <a:prstDash val="solid"/>
            </a:ln>
          </c:spPr>
          <c:marker>
            <c:symbol val="none"/>
          </c:marker>
          <c:val>
            <c:numRef>
              <c:f>'Proy. ventas'!$K$82</c:f>
              <c:numCache>
                <c:formatCode>_-* #,##0\ _€_-;\-* #,##0\ _€_-;_-* "-"??\ _€_-;_-@</c:formatCode>
                <c:ptCount val="1"/>
                <c:pt idx="0">
                  <c:v>4</c:v>
                </c:pt>
              </c:numCache>
            </c:numRef>
          </c:val>
          <c:smooth val="0"/>
          <c:extLst>
            <c:ext xmlns:c16="http://schemas.microsoft.com/office/drawing/2014/chart" uri="{C3380CC4-5D6E-409C-BE32-E72D297353CC}">
              <c16:uniqueId val="{00000003-0C1F-4460-BB7E-E57A915EF16D}"/>
            </c:ext>
          </c:extLst>
        </c:ser>
        <c:ser>
          <c:idx val="4"/>
          <c:order val="4"/>
          <c:spPr>
            <a:ln cmpd="sng">
              <a:solidFill>
                <a:srgbClr val="5B9BD5"/>
              </a:solidFill>
              <a:prstDash val="solid"/>
            </a:ln>
          </c:spPr>
          <c:marker>
            <c:symbol val="none"/>
          </c:marker>
          <c:val>
            <c:numRef>
              <c:f>'Proy. ventas'!$M$82</c:f>
              <c:numCache>
                <c:formatCode>_-* #,##0\ _€_-;\-* #,##0\ _€_-;_-* "-"??\ _€_-;_-@</c:formatCode>
                <c:ptCount val="1"/>
                <c:pt idx="0">
                  <c:v>4</c:v>
                </c:pt>
              </c:numCache>
            </c:numRef>
          </c:val>
          <c:smooth val="0"/>
          <c:extLst>
            <c:ext xmlns:c16="http://schemas.microsoft.com/office/drawing/2014/chart" uri="{C3380CC4-5D6E-409C-BE32-E72D297353CC}">
              <c16:uniqueId val="{00000004-0C1F-4460-BB7E-E57A915EF16D}"/>
            </c:ext>
          </c:extLst>
        </c:ser>
        <c:ser>
          <c:idx val="5"/>
          <c:order val="5"/>
          <c:spPr>
            <a:ln cmpd="sng">
              <a:solidFill>
                <a:srgbClr val="70AD47"/>
              </a:solidFill>
              <a:prstDash val="solid"/>
            </a:ln>
          </c:spPr>
          <c:marker>
            <c:symbol val="none"/>
          </c:marker>
          <c:val>
            <c:numRef>
              <c:f>'Proy. ventas'!$O$82</c:f>
              <c:numCache>
                <c:formatCode>_-* #,##0\ _€_-;\-* #,##0\ _€_-;_-* "-"??\ _€_-;_-@</c:formatCode>
                <c:ptCount val="1"/>
                <c:pt idx="0">
                  <c:v>4</c:v>
                </c:pt>
              </c:numCache>
            </c:numRef>
          </c:val>
          <c:smooth val="0"/>
          <c:extLst>
            <c:ext xmlns:c16="http://schemas.microsoft.com/office/drawing/2014/chart" uri="{C3380CC4-5D6E-409C-BE32-E72D297353CC}">
              <c16:uniqueId val="{00000005-0C1F-4460-BB7E-E57A915EF16D}"/>
            </c:ext>
          </c:extLst>
        </c:ser>
        <c:ser>
          <c:idx val="6"/>
          <c:order val="6"/>
          <c:spPr>
            <a:ln cmpd="sng">
              <a:solidFill>
                <a:srgbClr val="7C9CD6"/>
              </a:solidFill>
              <a:prstDash val="solid"/>
            </a:ln>
          </c:spPr>
          <c:marker>
            <c:symbol val="none"/>
          </c:marker>
          <c:val>
            <c:numRef>
              <c:f>'Proy. ventas'!$Q$82</c:f>
              <c:numCache>
                <c:formatCode>_-* #,##0\ _€_-;\-* #,##0\ _€_-;_-* "-"??\ _€_-;_-@</c:formatCode>
                <c:ptCount val="1"/>
                <c:pt idx="0">
                  <c:v>4</c:v>
                </c:pt>
              </c:numCache>
            </c:numRef>
          </c:val>
          <c:smooth val="0"/>
          <c:extLst>
            <c:ext xmlns:c16="http://schemas.microsoft.com/office/drawing/2014/chart" uri="{C3380CC4-5D6E-409C-BE32-E72D297353CC}">
              <c16:uniqueId val="{00000006-0C1F-4460-BB7E-E57A915EF16D}"/>
            </c:ext>
          </c:extLst>
        </c:ser>
        <c:ser>
          <c:idx val="7"/>
          <c:order val="7"/>
          <c:spPr>
            <a:ln cmpd="sng">
              <a:solidFill>
                <a:srgbClr val="F2A46F"/>
              </a:solidFill>
              <a:prstDash val="solid"/>
            </a:ln>
          </c:spPr>
          <c:marker>
            <c:symbol val="none"/>
          </c:marker>
          <c:val>
            <c:numRef>
              <c:f>'Proy. ventas'!$S$82</c:f>
              <c:numCache>
                <c:formatCode>_-* #,##0\ _€_-;\-* #,##0\ _€_-;_-* "-"??\ _€_-;_-@</c:formatCode>
                <c:ptCount val="1"/>
                <c:pt idx="0">
                  <c:v>4</c:v>
                </c:pt>
              </c:numCache>
            </c:numRef>
          </c:val>
          <c:smooth val="0"/>
          <c:extLst>
            <c:ext xmlns:c16="http://schemas.microsoft.com/office/drawing/2014/chart" uri="{C3380CC4-5D6E-409C-BE32-E72D297353CC}">
              <c16:uniqueId val="{00000007-0C1F-4460-BB7E-E57A915EF16D}"/>
            </c:ext>
          </c:extLst>
        </c:ser>
        <c:ser>
          <c:idx val="8"/>
          <c:order val="8"/>
          <c:spPr>
            <a:ln cmpd="sng">
              <a:solidFill>
                <a:srgbClr val="C0C0C0"/>
              </a:solidFill>
              <a:prstDash val="solid"/>
            </a:ln>
          </c:spPr>
          <c:marker>
            <c:symbol val="none"/>
          </c:marker>
          <c:val>
            <c:numRef>
              <c:f>'Proy. ventas'!$U$82</c:f>
              <c:numCache>
                <c:formatCode>_-* #,##0\ _€_-;\-* #,##0\ _€_-;_-* "-"??\ _€_-;_-@</c:formatCode>
                <c:ptCount val="1"/>
                <c:pt idx="0">
                  <c:v>4</c:v>
                </c:pt>
              </c:numCache>
            </c:numRef>
          </c:val>
          <c:smooth val="0"/>
          <c:extLst>
            <c:ext xmlns:c16="http://schemas.microsoft.com/office/drawing/2014/chart" uri="{C3380CC4-5D6E-409C-BE32-E72D297353CC}">
              <c16:uniqueId val="{00000008-0C1F-4460-BB7E-E57A915EF16D}"/>
            </c:ext>
          </c:extLst>
        </c:ser>
        <c:ser>
          <c:idx val="9"/>
          <c:order val="9"/>
          <c:spPr>
            <a:ln cmpd="sng">
              <a:solidFill>
                <a:srgbClr val="FFD34D"/>
              </a:solidFill>
              <a:prstDash val="solid"/>
            </a:ln>
          </c:spPr>
          <c:marker>
            <c:symbol val="none"/>
          </c:marker>
          <c:val>
            <c:numRef>
              <c:f>'Proy. ventas'!$W$82</c:f>
              <c:numCache>
                <c:formatCode>_-* #,##0\ _€_-;\-* #,##0\ _€_-;_-* "-"??\ _€_-;_-@</c:formatCode>
                <c:ptCount val="1"/>
                <c:pt idx="0">
                  <c:v>4</c:v>
                </c:pt>
              </c:numCache>
            </c:numRef>
          </c:val>
          <c:smooth val="0"/>
          <c:extLst>
            <c:ext xmlns:c16="http://schemas.microsoft.com/office/drawing/2014/chart" uri="{C3380CC4-5D6E-409C-BE32-E72D297353CC}">
              <c16:uniqueId val="{00000009-0C1F-4460-BB7E-E57A915EF16D}"/>
            </c:ext>
          </c:extLst>
        </c:ser>
        <c:ser>
          <c:idx val="10"/>
          <c:order val="10"/>
          <c:spPr>
            <a:ln cmpd="sng">
              <a:solidFill>
                <a:srgbClr val="8CB9E2"/>
              </a:solidFill>
              <a:prstDash val="solid"/>
            </a:ln>
          </c:spPr>
          <c:marker>
            <c:symbol val="none"/>
          </c:marker>
          <c:val>
            <c:numRef>
              <c:f>'Proy. ventas'!$Y$82</c:f>
              <c:numCache>
                <c:formatCode>_-* #,##0\ _€_-;\-* #,##0\ _€_-;_-* "-"??\ _€_-;_-@</c:formatCode>
                <c:ptCount val="1"/>
                <c:pt idx="0">
                  <c:v>5</c:v>
                </c:pt>
              </c:numCache>
            </c:numRef>
          </c:val>
          <c:smooth val="0"/>
          <c:extLst>
            <c:ext xmlns:c16="http://schemas.microsoft.com/office/drawing/2014/chart" uri="{C3380CC4-5D6E-409C-BE32-E72D297353CC}">
              <c16:uniqueId val="{0000000A-0C1F-4460-BB7E-E57A915EF16D}"/>
            </c:ext>
          </c:extLst>
        </c:ser>
        <c:ser>
          <c:idx val="11"/>
          <c:order val="11"/>
          <c:spPr>
            <a:ln cmpd="sng">
              <a:solidFill>
                <a:srgbClr val="9BC67E"/>
              </a:solidFill>
              <a:prstDash val="solid"/>
            </a:ln>
          </c:spPr>
          <c:marker>
            <c:symbol val="none"/>
          </c:marker>
          <c:val>
            <c:numRef>
              <c:f>'Proy. ventas'!$AA$82</c:f>
              <c:numCache>
                <c:formatCode>_-* #,##0\ _€_-;\-* #,##0\ _€_-;_-* "-"??\ _€_-;_-@</c:formatCode>
                <c:ptCount val="1"/>
                <c:pt idx="0">
                  <c:v>6</c:v>
                </c:pt>
              </c:numCache>
            </c:numRef>
          </c:val>
          <c:smooth val="0"/>
          <c:extLst>
            <c:ext xmlns:c16="http://schemas.microsoft.com/office/drawing/2014/chart" uri="{C3380CC4-5D6E-409C-BE32-E72D297353CC}">
              <c16:uniqueId val="{0000000B-0C1F-4460-BB7E-E57A915EF16D}"/>
            </c:ext>
          </c:extLst>
        </c:ser>
        <c:ser>
          <c:idx val="12"/>
          <c:order val="12"/>
          <c:spPr>
            <a:ln cmpd="sng">
              <a:solidFill>
                <a:srgbClr val="B4C7E7"/>
              </a:solidFill>
              <a:prstDash val="solid"/>
            </a:ln>
          </c:spPr>
          <c:marker>
            <c:symbol val="none"/>
          </c:marker>
          <c:val>
            <c:numRef>
              <c:f>'Proy. ventas'!$E$83</c:f>
              <c:numCache>
                <c:formatCode>_-* #,##0\ _€_-;\-* #,##0\ _€_-;_-* "-"??\ _€_-;_-@</c:formatCode>
                <c:ptCount val="1"/>
                <c:pt idx="0">
                  <c:v>8</c:v>
                </c:pt>
              </c:numCache>
            </c:numRef>
          </c:val>
          <c:smooth val="0"/>
          <c:extLst>
            <c:ext xmlns:c16="http://schemas.microsoft.com/office/drawing/2014/chart" uri="{C3380CC4-5D6E-409C-BE32-E72D297353CC}">
              <c16:uniqueId val="{0000000C-0C1F-4460-BB7E-E57A915EF16D}"/>
            </c:ext>
          </c:extLst>
        </c:ser>
        <c:ser>
          <c:idx val="13"/>
          <c:order val="13"/>
          <c:spPr>
            <a:ln cmpd="sng">
              <a:solidFill>
                <a:srgbClr val="F8CBAD"/>
              </a:solidFill>
              <a:prstDash val="solid"/>
            </a:ln>
          </c:spPr>
          <c:marker>
            <c:symbol val="none"/>
          </c:marker>
          <c:val>
            <c:numRef>
              <c:f>'Proy. ventas'!$G$83</c:f>
              <c:numCache>
                <c:formatCode>_-* #,##0\ _€_-;\-* #,##0\ _€_-;_-* "-"??\ _€_-;_-@</c:formatCode>
                <c:ptCount val="1"/>
                <c:pt idx="0">
                  <c:v>8</c:v>
                </c:pt>
              </c:numCache>
            </c:numRef>
          </c:val>
          <c:smooth val="0"/>
          <c:extLst>
            <c:ext xmlns:c16="http://schemas.microsoft.com/office/drawing/2014/chart" uri="{C3380CC4-5D6E-409C-BE32-E72D297353CC}">
              <c16:uniqueId val="{0000000D-0C1F-4460-BB7E-E57A915EF16D}"/>
            </c:ext>
          </c:extLst>
        </c:ser>
        <c:ser>
          <c:idx val="14"/>
          <c:order val="14"/>
          <c:spPr>
            <a:ln cmpd="sng">
              <a:solidFill>
                <a:srgbClr val="DBDBDB"/>
              </a:solidFill>
              <a:prstDash val="solid"/>
            </a:ln>
          </c:spPr>
          <c:marker>
            <c:symbol val="none"/>
          </c:marker>
          <c:val>
            <c:numRef>
              <c:f>'Proy. ventas'!$I$83</c:f>
              <c:numCache>
                <c:formatCode>_-* #,##0\ _€_-;\-* #,##0\ _€_-;_-* "-"??\ _€_-;_-@</c:formatCode>
                <c:ptCount val="1"/>
                <c:pt idx="0">
                  <c:v>8</c:v>
                </c:pt>
              </c:numCache>
            </c:numRef>
          </c:val>
          <c:smooth val="0"/>
          <c:extLst>
            <c:ext xmlns:c16="http://schemas.microsoft.com/office/drawing/2014/chart" uri="{C3380CC4-5D6E-409C-BE32-E72D297353CC}">
              <c16:uniqueId val="{0000000E-0C1F-4460-BB7E-E57A915EF16D}"/>
            </c:ext>
          </c:extLst>
        </c:ser>
        <c:ser>
          <c:idx val="15"/>
          <c:order val="15"/>
          <c:spPr>
            <a:ln cmpd="sng">
              <a:solidFill>
                <a:srgbClr val="FFE699"/>
              </a:solidFill>
              <a:prstDash val="solid"/>
            </a:ln>
          </c:spPr>
          <c:marker>
            <c:symbol val="none"/>
          </c:marker>
          <c:val>
            <c:numRef>
              <c:f>'Proy. ventas'!$K$83</c:f>
              <c:numCache>
                <c:formatCode>_-* #,##0\ _€_-;\-* #,##0\ _€_-;_-* "-"??\ _€_-;_-@</c:formatCode>
                <c:ptCount val="1"/>
                <c:pt idx="0">
                  <c:v>8</c:v>
                </c:pt>
              </c:numCache>
            </c:numRef>
          </c:val>
          <c:smooth val="0"/>
          <c:extLst>
            <c:ext xmlns:c16="http://schemas.microsoft.com/office/drawing/2014/chart" uri="{C3380CC4-5D6E-409C-BE32-E72D297353CC}">
              <c16:uniqueId val="{0000000F-0C1F-4460-BB7E-E57A915EF16D}"/>
            </c:ext>
          </c:extLst>
        </c:ser>
        <c:ser>
          <c:idx val="16"/>
          <c:order val="16"/>
          <c:spPr>
            <a:ln cmpd="sng">
              <a:solidFill>
                <a:srgbClr val="BDD7EE"/>
              </a:solidFill>
              <a:prstDash val="solid"/>
            </a:ln>
          </c:spPr>
          <c:marker>
            <c:symbol val="none"/>
          </c:marker>
          <c:val>
            <c:numRef>
              <c:f>'Proy. ventas'!$M$83</c:f>
              <c:numCache>
                <c:formatCode>_-* #,##0\ _€_-;\-* #,##0\ _€_-;_-* "-"??\ _€_-;_-@</c:formatCode>
                <c:ptCount val="1"/>
                <c:pt idx="0">
                  <c:v>8</c:v>
                </c:pt>
              </c:numCache>
            </c:numRef>
          </c:val>
          <c:smooth val="0"/>
          <c:extLst>
            <c:ext xmlns:c16="http://schemas.microsoft.com/office/drawing/2014/chart" uri="{C3380CC4-5D6E-409C-BE32-E72D297353CC}">
              <c16:uniqueId val="{00000010-0C1F-4460-BB7E-E57A915EF16D}"/>
            </c:ext>
          </c:extLst>
        </c:ser>
        <c:ser>
          <c:idx val="17"/>
          <c:order val="17"/>
          <c:spPr>
            <a:ln cmpd="sng">
              <a:solidFill>
                <a:srgbClr val="C6DEB5"/>
              </a:solidFill>
              <a:prstDash val="solid"/>
            </a:ln>
          </c:spPr>
          <c:marker>
            <c:symbol val="none"/>
          </c:marker>
          <c:val>
            <c:numRef>
              <c:f>'Proy. ventas'!$O$83</c:f>
              <c:numCache>
                <c:formatCode>_-* #,##0\ _€_-;\-* #,##0\ _€_-;_-* "-"??\ _€_-;_-@</c:formatCode>
                <c:ptCount val="1"/>
                <c:pt idx="0">
                  <c:v>8</c:v>
                </c:pt>
              </c:numCache>
            </c:numRef>
          </c:val>
          <c:smooth val="0"/>
          <c:extLst>
            <c:ext xmlns:c16="http://schemas.microsoft.com/office/drawing/2014/chart" uri="{C3380CC4-5D6E-409C-BE32-E72D297353CC}">
              <c16:uniqueId val="{00000011-0C1F-4460-BB7E-E57A915EF16D}"/>
            </c:ext>
          </c:extLst>
        </c:ser>
        <c:ser>
          <c:idx val="18"/>
          <c:order val="18"/>
          <c:spPr>
            <a:ln cmpd="sng">
              <a:solidFill>
                <a:srgbClr val="ECF1F9"/>
              </a:solidFill>
              <a:prstDash val="solid"/>
            </a:ln>
          </c:spPr>
          <c:marker>
            <c:symbol val="none"/>
          </c:marker>
          <c:val>
            <c:numRef>
              <c:f>'Proy. ventas'!$Q$83</c:f>
              <c:numCache>
                <c:formatCode>_-* #,##0\ _€_-;\-* #,##0\ _€_-;_-* "-"??\ _€_-;_-@</c:formatCode>
                <c:ptCount val="1"/>
                <c:pt idx="0">
                  <c:v>9</c:v>
                </c:pt>
              </c:numCache>
            </c:numRef>
          </c:val>
          <c:smooth val="0"/>
          <c:extLst>
            <c:ext xmlns:c16="http://schemas.microsoft.com/office/drawing/2014/chart" uri="{C3380CC4-5D6E-409C-BE32-E72D297353CC}">
              <c16:uniqueId val="{00000012-0C1F-4460-BB7E-E57A915EF16D}"/>
            </c:ext>
          </c:extLst>
        </c:ser>
        <c:ser>
          <c:idx val="19"/>
          <c:order val="19"/>
          <c:spPr>
            <a:ln cmpd="sng">
              <a:solidFill>
                <a:srgbClr val="FDF2EA"/>
              </a:solidFill>
              <a:prstDash val="solid"/>
            </a:ln>
          </c:spPr>
          <c:marker>
            <c:symbol val="none"/>
          </c:marker>
          <c:val>
            <c:numRef>
              <c:f>'Proy. ventas'!$S$83</c:f>
              <c:numCache>
                <c:formatCode>_-* #,##0\ _€_-;\-* #,##0\ _€_-;_-* "-"??\ _€_-;_-@</c:formatCode>
                <c:ptCount val="1"/>
                <c:pt idx="0">
                  <c:v>9</c:v>
                </c:pt>
              </c:numCache>
            </c:numRef>
          </c:val>
          <c:smooth val="0"/>
          <c:extLst>
            <c:ext xmlns:c16="http://schemas.microsoft.com/office/drawing/2014/chart" uri="{C3380CC4-5D6E-409C-BE32-E72D297353CC}">
              <c16:uniqueId val="{00000013-0C1F-4460-BB7E-E57A915EF16D}"/>
            </c:ext>
          </c:extLst>
        </c:ser>
        <c:ser>
          <c:idx val="20"/>
          <c:order val="20"/>
          <c:spPr>
            <a:ln cmpd="sng">
              <a:solidFill>
                <a:srgbClr val="F6F6F6"/>
              </a:solidFill>
              <a:prstDash val="solid"/>
            </a:ln>
          </c:spPr>
          <c:marker>
            <c:symbol val="none"/>
          </c:marker>
          <c:val>
            <c:numRef>
              <c:f>'Proy. ventas'!$U$83</c:f>
              <c:numCache>
                <c:formatCode>_-* #,##0\ _€_-;\-* #,##0\ _€_-;_-* "-"??\ _€_-;_-@</c:formatCode>
                <c:ptCount val="1"/>
                <c:pt idx="0">
                  <c:v>9</c:v>
                </c:pt>
              </c:numCache>
            </c:numRef>
          </c:val>
          <c:smooth val="0"/>
          <c:extLst>
            <c:ext xmlns:c16="http://schemas.microsoft.com/office/drawing/2014/chart" uri="{C3380CC4-5D6E-409C-BE32-E72D297353CC}">
              <c16:uniqueId val="{00000014-0C1F-4460-BB7E-E57A915EF16D}"/>
            </c:ext>
          </c:extLst>
        </c:ser>
        <c:ser>
          <c:idx val="21"/>
          <c:order val="21"/>
          <c:spPr>
            <a:ln cmpd="sng">
              <a:solidFill>
                <a:srgbClr val="FFF9E6"/>
              </a:solidFill>
              <a:prstDash val="solid"/>
            </a:ln>
          </c:spPr>
          <c:marker>
            <c:symbol val="none"/>
          </c:marker>
          <c:val>
            <c:numRef>
              <c:f>'Proy. ventas'!$W$83</c:f>
              <c:numCache>
                <c:formatCode>_-* #,##0\ _€_-;\-* #,##0\ _€_-;_-* "-"??\ _€_-;_-@</c:formatCode>
                <c:ptCount val="1"/>
                <c:pt idx="0">
                  <c:v>9</c:v>
                </c:pt>
              </c:numCache>
            </c:numRef>
          </c:val>
          <c:smooth val="0"/>
          <c:extLst>
            <c:ext xmlns:c16="http://schemas.microsoft.com/office/drawing/2014/chart" uri="{C3380CC4-5D6E-409C-BE32-E72D297353CC}">
              <c16:uniqueId val="{00000015-0C1F-4460-BB7E-E57A915EF16D}"/>
            </c:ext>
          </c:extLst>
        </c:ser>
        <c:ser>
          <c:idx val="22"/>
          <c:order val="22"/>
          <c:spPr>
            <a:ln cmpd="sng">
              <a:solidFill>
                <a:srgbClr val="EFF5FB"/>
              </a:solidFill>
              <a:prstDash val="solid"/>
            </a:ln>
          </c:spPr>
          <c:marker>
            <c:symbol val="none"/>
          </c:marker>
          <c:val>
            <c:numRef>
              <c:f>'Proy. ventas'!$Y$83</c:f>
              <c:numCache>
                <c:formatCode>_-* #,##0\ _€_-;\-* #,##0\ _€_-;_-* "-"??\ _€_-;_-@</c:formatCode>
                <c:ptCount val="1"/>
                <c:pt idx="0">
                  <c:v>9</c:v>
                </c:pt>
              </c:numCache>
            </c:numRef>
          </c:val>
          <c:smooth val="0"/>
          <c:extLst>
            <c:ext xmlns:c16="http://schemas.microsoft.com/office/drawing/2014/chart" uri="{C3380CC4-5D6E-409C-BE32-E72D297353CC}">
              <c16:uniqueId val="{00000016-0C1F-4460-BB7E-E57A915EF16D}"/>
            </c:ext>
          </c:extLst>
        </c:ser>
        <c:ser>
          <c:idx val="23"/>
          <c:order val="23"/>
          <c:spPr>
            <a:ln cmpd="sng">
              <a:solidFill>
                <a:srgbClr val="F1F7ED"/>
              </a:solidFill>
              <a:prstDash val="solid"/>
            </a:ln>
          </c:spPr>
          <c:marker>
            <c:symbol val="none"/>
          </c:marker>
          <c:val>
            <c:numRef>
              <c:f>'Proy. ventas'!$AA$83</c:f>
              <c:numCache>
                <c:formatCode>_-* #,##0\ _€_-;\-* #,##0\ _€_-;_-* "-"??\ _€_-;_-@</c:formatCode>
                <c:ptCount val="1"/>
                <c:pt idx="0">
                  <c:v>9</c:v>
                </c:pt>
              </c:numCache>
            </c:numRef>
          </c:val>
          <c:smooth val="0"/>
          <c:extLst>
            <c:ext xmlns:c16="http://schemas.microsoft.com/office/drawing/2014/chart" uri="{C3380CC4-5D6E-409C-BE32-E72D297353CC}">
              <c16:uniqueId val="{00000017-0C1F-4460-BB7E-E57A915EF16D}"/>
            </c:ext>
          </c:extLst>
        </c:ser>
        <c:ser>
          <c:idx val="24"/>
          <c:order val="24"/>
          <c:spPr>
            <a:ln cmpd="sng">
              <a:solidFill>
                <a:srgbClr val="241B0B"/>
              </a:solidFill>
              <a:prstDash val="solid"/>
            </a:ln>
          </c:spPr>
          <c:marker>
            <c:symbol val="none"/>
          </c:marker>
          <c:val>
            <c:numRef>
              <c:f>'Proy. ventas'!$E$84</c:f>
              <c:numCache>
                <c:formatCode>_-* #,##0\ _€_-;\-* #,##0\ _€_-;_-* "-"??\ _€_-;_-@</c:formatCode>
                <c:ptCount val="1"/>
                <c:pt idx="0">
                  <c:v>1</c:v>
                </c:pt>
              </c:numCache>
            </c:numRef>
          </c:val>
          <c:smooth val="0"/>
          <c:extLst>
            <c:ext xmlns:c16="http://schemas.microsoft.com/office/drawing/2014/chart" uri="{C3380CC4-5D6E-409C-BE32-E72D297353CC}">
              <c16:uniqueId val="{00000018-0C1F-4460-BB7E-E57A915EF16D}"/>
            </c:ext>
          </c:extLst>
        </c:ser>
        <c:ser>
          <c:idx val="25"/>
          <c:order val="25"/>
          <c:spPr>
            <a:ln cmpd="sng">
              <a:solidFill>
                <a:srgbClr val="031928"/>
              </a:solidFill>
              <a:prstDash val="solid"/>
            </a:ln>
          </c:spPr>
          <c:marker>
            <c:symbol val="none"/>
          </c:marker>
          <c:val>
            <c:numRef>
              <c:f>'Proy. ventas'!$G$84</c:f>
              <c:numCache>
                <c:formatCode>_-* #,##0\ _€_-;\-* #,##0\ _€_-;_-* "-"??\ _€_-;_-@</c:formatCode>
                <c:ptCount val="1"/>
                <c:pt idx="0">
                  <c:v>1</c:v>
                </c:pt>
              </c:numCache>
            </c:numRef>
          </c:val>
          <c:smooth val="0"/>
          <c:extLst>
            <c:ext xmlns:c16="http://schemas.microsoft.com/office/drawing/2014/chart" uri="{C3380CC4-5D6E-409C-BE32-E72D297353CC}">
              <c16:uniqueId val="{00000019-0C1F-4460-BB7E-E57A915EF16D}"/>
            </c:ext>
          </c:extLst>
        </c:ser>
        <c:ser>
          <c:idx val="26"/>
          <c:order val="26"/>
          <c:spPr>
            <a:ln cmpd="sng">
              <a:solidFill>
                <a:srgbClr val="111111"/>
              </a:solidFill>
              <a:prstDash val="solid"/>
            </a:ln>
          </c:spPr>
          <c:marker>
            <c:symbol val="none"/>
          </c:marker>
          <c:val>
            <c:numRef>
              <c:f>'Proy. ventas'!$I$84</c:f>
              <c:numCache>
                <c:formatCode>_-* #,##0\ _€_-;\-* #,##0\ _€_-;_-* "-"??\ _€_-;_-@</c:formatCode>
                <c:ptCount val="1"/>
                <c:pt idx="0">
                  <c:v>1</c:v>
                </c:pt>
              </c:numCache>
            </c:numRef>
          </c:val>
          <c:smooth val="0"/>
          <c:extLst>
            <c:ext xmlns:c16="http://schemas.microsoft.com/office/drawing/2014/chart" uri="{C3380CC4-5D6E-409C-BE32-E72D297353CC}">
              <c16:uniqueId val="{0000001A-0C1F-4460-BB7E-E57A915EF16D}"/>
            </c:ext>
          </c:extLst>
        </c:ser>
        <c:ser>
          <c:idx val="27"/>
          <c:order val="27"/>
          <c:spPr>
            <a:ln cmpd="sng">
              <a:solidFill>
                <a:srgbClr val="FF0C32"/>
              </a:solidFill>
              <a:prstDash val="solid"/>
            </a:ln>
          </c:spPr>
          <c:marker>
            <c:symbol val="none"/>
          </c:marker>
          <c:val>
            <c:numRef>
              <c:f>'Proy. ventas'!$K$84</c:f>
              <c:numCache>
                <c:formatCode>_-* #,##0\ _€_-;\-* #,##0\ _€_-;_-* "-"??\ _€_-;_-@</c:formatCode>
                <c:ptCount val="1"/>
                <c:pt idx="0">
                  <c:v>1</c:v>
                </c:pt>
              </c:numCache>
            </c:numRef>
          </c:val>
          <c:smooth val="0"/>
          <c:extLst>
            <c:ext xmlns:c16="http://schemas.microsoft.com/office/drawing/2014/chart" uri="{C3380CC4-5D6E-409C-BE32-E72D297353CC}">
              <c16:uniqueId val="{0000001B-0C1F-4460-BB7E-E57A915EF16D}"/>
            </c:ext>
          </c:extLst>
        </c:ser>
        <c:ser>
          <c:idx val="28"/>
          <c:order val="28"/>
          <c:spPr>
            <a:ln cmpd="sng">
              <a:solidFill>
                <a:srgbClr val="201307"/>
              </a:solidFill>
              <a:prstDash val="solid"/>
            </a:ln>
          </c:spPr>
          <c:marker>
            <c:symbol val="none"/>
          </c:marker>
          <c:val>
            <c:numRef>
              <c:f>'Proy. ventas'!$M$84</c:f>
              <c:numCache>
                <c:formatCode>_-* #,##0\ _€_-;\-* #,##0\ _€_-;_-* "-"??\ _€_-;_-@</c:formatCode>
                <c:ptCount val="1"/>
                <c:pt idx="0">
                  <c:v>1</c:v>
                </c:pt>
              </c:numCache>
            </c:numRef>
          </c:val>
          <c:smooth val="0"/>
          <c:extLst>
            <c:ext xmlns:c16="http://schemas.microsoft.com/office/drawing/2014/chart" uri="{C3380CC4-5D6E-409C-BE32-E72D297353CC}">
              <c16:uniqueId val="{0000001C-0C1F-4460-BB7E-E57A915EF16D}"/>
            </c:ext>
          </c:extLst>
        </c:ser>
        <c:ser>
          <c:idx val="29"/>
          <c:order val="29"/>
          <c:spPr>
            <a:ln cmpd="sng">
              <a:solidFill>
                <a:srgbClr val="1C0F24"/>
              </a:solidFill>
              <a:prstDash val="solid"/>
            </a:ln>
          </c:spPr>
          <c:marker>
            <c:symbol val="none"/>
          </c:marker>
          <c:val>
            <c:numRef>
              <c:f>'Proy. ventas'!$M$85</c:f>
              <c:numCache>
                <c:formatCode>_-* #,##0\ _€_-;\-* #,##0\ _€_-;_-* "-"??\ _€_-;_-@</c:formatCode>
                <c:ptCount val="1"/>
                <c:pt idx="0">
                  <c:v>50</c:v>
                </c:pt>
              </c:numCache>
            </c:numRef>
          </c:val>
          <c:smooth val="0"/>
          <c:extLst>
            <c:ext xmlns:c16="http://schemas.microsoft.com/office/drawing/2014/chart" uri="{C3380CC4-5D6E-409C-BE32-E72D297353CC}">
              <c16:uniqueId val="{0000001D-0C1F-4460-BB7E-E57A915EF16D}"/>
            </c:ext>
          </c:extLst>
        </c:ser>
        <c:ser>
          <c:idx val="30"/>
          <c:order val="30"/>
          <c:spPr>
            <a:ln cmpd="sng">
              <a:solidFill>
                <a:srgbClr val="5D461D"/>
              </a:solidFill>
              <a:prstDash val="solid"/>
            </a:ln>
          </c:spPr>
          <c:marker>
            <c:symbol val="none"/>
          </c:marker>
          <c:val>
            <c:numRef>
              <c:f>'Proy. ventas'!$O$84</c:f>
              <c:numCache>
                <c:formatCode>_-* #,##0\ _€_-;\-* #,##0\ _€_-;_-* "-"??\ _€_-;_-@</c:formatCode>
                <c:ptCount val="1"/>
                <c:pt idx="0">
                  <c:v>2</c:v>
                </c:pt>
              </c:numCache>
            </c:numRef>
          </c:val>
          <c:smooth val="0"/>
          <c:extLst>
            <c:ext xmlns:c16="http://schemas.microsoft.com/office/drawing/2014/chart" uri="{C3380CC4-5D6E-409C-BE32-E72D297353CC}">
              <c16:uniqueId val="{0000001E-0C1F-4460-BB7E-E57A915EF16D}"/>
            </c:ext>
          </c:extLst>
        </c:ser>
        <c:ser>
          <c:idx val="31"/>
          <c:order val="31"/>
          <c:spPr>
            <a:ln cmpd="sng">
              <a:solidFill>
                <a:srgbClr val="084066"/>
              </a:solidFill>
              <a:prstDash val="solid"/>
            </a:ln>
          </c:spPr>
          <c:marker>
            <c:symbol val="none"/>
          </c:marker>
          <c:val>
            <c:numRef>
              <c:f>'Proy. ventas'!$Q$84</c:f>
              <c:numCache>
                <c:formatCode>_-* #,##0\ _€_-;\-* #,##0\ _€_-;_-* "-"??\ _€_-;_-@</c:formatCode>
                <c:ptCount val="1"/>
                <c:pt idx="0">
                  <c:v>1</c:v>
                </c:pt>
              </c:numCache>
            </c:numRef>
          </c:val>
          <c:smooth val="0"/>
          <c:extLst>
            <c:ext xmlns:c16="http://schemas.microsoft.com/office/drawing/2014/chart" uri="{C3380CC4-5D6E-409C-BE32-E72D297353CC}">
              <c16:uniqueId val="{0000001F-0C1F-4460-BB7E-E57A915EF16D}"/>
            </c:ext>
          </c:extLst>
        </c:ser>
        <c:ser>
          <c:idx val="32"/>
          <c:order val="32"/>
          <c:spPr>
            <a:ln cmpd="sng">
              <a:solidFill>
                <a:srgbClr val="2C2C2C"/>
              </a:solidFill>
              <a:prstDash val="solid"/>
            </a:ln>
          </c:spPr>
          <c:marker>
            <c:symbol val="none"/>
          </c:marker>
          <c:val>
            <c:numRef>
              <c:f>'Proy. ventas'!$S$84</c:f>
              <c:numCache>
                <c:formatCode>_-* #,##0\ _€_-;\-* #,##0\ _€_-;_-* "-"??\ _€_-;_-@</c:formatCode>
                <c:ptCount val="1"/>
                <c:pt idx="0">
                  <c:v>2</c:v>
                </c:pt>
              </c:numCache>
            </c:numRef>
          </c:val>
          <c:smooth val="0"/>
          <c:extLst>
            <c:ext xmlns:c16="http://schemas.microsoft.com/office/drawing/2014/chart" uri="{C3380CC4-5D6E-409C-BE32-E72D297353CC}">
              <c16:uniqueId val="{00000020-0C1F-4460-BB7E-E57A915EF16D}"/>
            </c:ext>
          </c:extLst>
        </c:ser>
        <c:ser>
          <c:idx val="33"/>
          <c:order val="33"/>
          <c:spPr>
            <a:ln cmpd="sng">
              <a:solidFill>
                <a:srgbClr val="FF1F7F"/>
              </a:solidFill>
              <a:prstDash val="solid"/>
            </a:ln>
          </c:spPr>
          <c:marker>
            <c:symbol val="none"/>
          </c:marker>
          <c:val>
            <c:numRef>
              <c:f>'Proy. ventas'!$U$84</c:f>
              <c:numCache>
                <c:formatCode>_-* #,##0\ _€_-;\-* #,##0\ _€_-;_-* "-"??\ _€_-;_-@</c:formatCode>
                <c:ptCount val="1"/>
                <c:pt idx="0">
                  <c:v>1</c:v>
                </c:pt>
              </c:numCache>
            </c:numRef>
          </c:val>
          <c:smooth val="0"/>
          <c:extLst>
            <c:ext xmlns:c16="http://schemas.microsoft.com/office/drawing/2014/chart" uri="{C3380CC4-5D6E-409C-BE32-E72D297353CC}">
              <c16:uniqueId val="{00000021-0C1F-4460-BB7E-E57A915EF16D}"/>
            </c:ext>
          </c:extLst>
        </c:ser>
        <c:ser>
          <c:idx val="34"/>
          <c:order val="34"/>
          <c:spPr>
            <a:ln cmpd="sng">
              <a:solidFill>
                <a:srgbClr val="513114"/>
              </a:solidFill>
              <a:prstDash val="solid"/>
            </a:ln>
          </c:spPr>
          <c:marker>
            <c:symbol val="none"/>
          </c:marker>
          <c:val>
            <c:numRef>
              <c:f>'Proy. ventas'!$W$84</c:f>
              <c:numCache>
                <c:formatCode>_-* #,##0\ _€_-;\-* #,##0\ _€_-;_-* "-"??\ _€_-;_-@</c:formatCode>
                <c:ptCount val="1"/>
                <c:pt idx="0">
                  <c:v>2</c:v>
                </c:pt>
              </c:numCache>
            </c:numRef>
          </c:val>
          <c:smooth val="0"/>
          <c:extLst>
            <c:ext xmlns:c16="http://schemas.microsoft.com/office/drawing/2014/chart" uri="{C3380CC4-5D6E-409C-BE32-E72D297353CC}">
              <c16:uniqueId val="{00000022-0C1F-4460-BB7E-E57A915EF16D}"/>
            </c:ext>
          </c:extLst>
        </c:ser>
        <c:ser>
          <c:idx val="35"/>
          <c:order val="35"/>
          <c:spPr>
            <a:ln cmpd="sng">
              <a:solidFill>
                <a:srgbClr val="47285B"/>
              </a:solidFill>
              <a:prstDash val="solid"/>
            </a:ln>
          </c:spPr>
          <c:marker>
            <c:symbol val="none"/>
          </c:marker>
          <c:val>
            <c:numRef>
              <c:f>'Proy. ventas'!$Y$84</c:f>
              <c:numCache>
                <c:formatCode>_-* #,##0\ _€_-;\-* #,##0\ _€_-;_-* "-"??\ _€_-;_-@</c:formatCode>
                <c:ptCount val="1"/>
                <c:pt idx="0">
                  <c:v>2</c:v>
                </c:pt>
              </c:numCache>
            </c:numRef>
          </c:val>
          <c:smooth val="0"/>
          <c:extLst>
            <c:ext xmlns:c16="http://schemas.microsoft.com/office/drawing/2014/chart" uri="{C3380CC4-5D6E-409C-BE32-E72D297353CC}">
              <c16:uniqueId val="{00000023-0C1F-4460-BB7E-E57A915EF16D}"/>
            </c:ext>
          </c:extLst>
        </c:ser>
        <c:ser>
          <c:idx val="36"/>
          <c:order val="36"/>
          <c:spPr>
            <a:ln cmpd="sng">
              <a:solidFill>
                <a:srgbClr val="966108"/>
              </a:solidFill>
              <a:prstDash val="solid"/>
            </a:ln>
          </c:spPr>
          <c:marker>
            <c:symbol val="none"/>
          </c:marker>
          <c:val>
            <c:numRef>
              <c:f>'Proy. ventas'!$AA$84</c:f>
              <c:numCache>
                <c:formatCode>_-* #,##0\ _€_-;\-* #,##0\ _€_-;_-* "-"??\ _€_-;_-@</c:formatCode>
                <c:ptCount val="1"/>
                <c:pt idx="0">
                  <c:v>2</c:v>
                </c:pt>
              </c:numCache>
            </c:numRef>
          </c:val>
          <c:smooth val="0"/>
          <c:extLst>
            <c:ext xmlns:c16="http://schemas.microsoft.com/office/drawing/2014/chart" uri="{C3380CC4-5D6E-409C-BE32-E72D297353CC}">
              <c16:uniqueId val="{00000024-0C1F-4460-BB7E-E57A915EF16D}"/>
            </c:ext>
          </c:extLst>
        </c:ser>
        <c:dLbls>
          <c:showLegendKey val="0"/>
          <c:showVal val="0"/>
          <c:showCatName val="0"/>
          <c:showSerName val="0"/>
          <c:showPercent val="0"/>
          <c:showBubbleSize val="0"/>
        </c:dLbls>
        <c:marker val="1"/>
        <c:smooth val="0"/>
        <c:axId val="1818103824"/>
        <c:axId val="1818110352"/>
      </c:lineChart>
      <c:catAx>
        <c:axId val="1818103824"/>
        <c:scaling>
          <c:orientation val="minMax"/>
        </c:scaling>
        <c:delete val="0"/>
        <c:axPos val="b"/>
        <c:title>
          <c:tx>
            <c:rich>
              <a:bodyPr/>
              <a:lstStyle/>
              <a:p>
                <a:pPr lvl="0">
                  <a:defRPr b="0">
                    <a:solidFill>
                      <a:srgbClr val="000000"/>
                    </a:solidFill>
                    <a:latin typeface="+mn-lt"/>
                  </a:defRPr>
                </a:pPr>
                <a:r>
                  <a:t>None</a:t>
                </a:r>
                <a:endParaRPr lang="es-AR"/>
              </a:p>
            </c:rich>
          </c:tx>
          <c:overlay val="0"/>
        </c:title>
        <c:numFmt formatCode="General" sourceLinked="1"/>
        <c:majorTickMark val="out"/>
        <c:minorTickMark val="none"/>
        <c:tickLblPos val="nextTo"/>
        <c:txPr>
          <a:bodyPr/>
          <a:lstStyle/>
          <a:p>
            <a:pPr lvl="0">
              <a:defRPr sz="900" b="0" i="0">
                <a:solidFill>
                  <a:schemeClr val="dk1"/>
                </a:solidFill>
                <a:latin typeface="+mn-lt"/>
              </a:defRPr>
            </a:pPr>
            <a:endParaRPr lang="es-AR"/>
          </a:p>
        </c:txPr>
        <c:crossAx val="1818110352"/>
        <c:crosses val="autoZero"/>
        <c:auto val="1"/>
        <c:lblAlgn val="ctr"/>
        <c:lblOffset val="100"/>
        <c:noMultiLvlLbl val="1"/>
      </c:catAx>
      <c:valAx>
        <c:axId val="1818110352"/>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t>None</a:t>
                </a:r>
                <a:endParaRPr lang="es-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3824"/>
        <c:crosses val="autoZero"/>
        <c:crossBetween val="between"/>
      </c:valAx>
    </c:plotArea>
    <c:legend>
      <c:legendPos val="b"/>
      <c:overlay val="0"/>
      <c:txPr>
        <a:bodyPr/>
        <a:lstStyle/>
        <a:p>
          <a:pPr lvl="0">
            <a:defRPr sz="18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spPr>
            <a:ln w="28575" cmpd="sng">
              <a:solidFill>
                <a:schemeClr val="accent1"/>
              </a:solidFill>
              <a:prstDash val="solid"/>
            </a:ln>
          </c:spPr>
          <c:marker>
            <c:symbol val="circle"/>
            <c:size val="17"/>
            <c:spPr>
              <a:solidFill>
                <a:schemeClr val="accent1"/>
              </a:solidFill>
              <a:ln cmpd="sng">
                <a:solidFill>
                  <a:schemeClr val="accent1"/>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ventas'!$E$144</c:f>
              <c:numCache>
                <c:formatCode>_-* #,##0\ _€_-;\-* #,##0\ _€_-;_-* "-"??\ _€_-;_-@</c:formatCode>
                <c:ptCount val="1"/>
                <c:pt idx="0">
                  <c:v>6</c:v>
                </c:pt>
              </c:numCache>
            </c:numRef>
          </c:val>
          <c:smooth val="0"/>
          <c:extLst>
            <c:ext xmlns:c16="http://schemas.microsoft.com/office/drawing/2014/chart" uri="{C3380CC4-5D6E-409C-BE32-E72D297353CC}">
              <c16:uniqueId val="{00000000-8F5D-44D4-8D56-75319B5DC802}"/>
            </c:ext>
          </c:extLst>
        </c:ser>
        <c:ser>
          <c:idx val="1"/>
          <c:order val="1"/>
          <c:spPr>
            <a:ln w="28575" cmpd="sng">
              <a:solidFill>
                <a:schemeClr val="accent2"/>
              </a:solidFill>
              <a:prstDash val="solid"/>
            </a:ln>
          </c:spPr>
          <c:marker>
            <c:symbol val="circle"/>
            <c:size val="17"/>
            <c:spPr>
              <a:solidFill>
                <a:schemeClr val="accent2"/>
              </a:solidFill>
              <a:ln cmpd="sng">
                <a:solidFill>
                  <a:schemeClr val="accent2"/>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ventas'!$G$144</c:f>
              <c:numCache>
                <c:formatCode>_-* #,##0\ _€_-;\-* #,##0\ _€_-;_-* "-"??\ _€_-;_-@</c:formatCode>
                <c:ptCount val="1"/>
                <c:pt idx="0">
                  <c:v>6</c:v>
                </c:pt>
              </c:numCache>
            </c:numRef>
          </c:val>
          <c:smooth val="0"/>
          <c:extLst>
            <c:ext xmlns:c16="http://schemas.microsoft.com/office/drawing/2014/chart" uri="{C3380CC4-5D6E-409C-BE32-E72D297353CC}">
              <c16:uniqueId val="{00000001-8F5D-44D4-8D56-75319B5DC802}"/>
            </c:ext>
          </c:extLst>
        </c:ser>
        <c:ser>
          <c:idx val="2"/>
          <c:order val="2"/>
          <c:spPr>
            <a:ln w="28575" cmpd="sng">
              <a:solidFill>
                <a:schemeClr val="accent3"/>
              </a:solidFill>
              <a:prstDash val="solid"/>
            </a:ln>
          </c:spPr>
          <c:marker>
            <c:symbol val="circle"/>
            <c:size val="17"/>
            <c:spPr>
              <a:solidFill>
                <a:schemeClr val="accent3"/>
              </a:solidFill>
              <a:ln cmpd="sng">
                <a:solidFill>
                  <a:schemeClr val="accent3"/>
                </a:solidFill>
                <a:prstDash val="solid"/>
              </a:ln>
            </c:spPr>
          </c:marker>
          <c:dLbls>
            <c:spPr>
              <a:noFill/>
              <a:ln>
                <a:noFill/>
                <a:prstDash val="solid"/>
              </a:ln>
            </c:spPr>
            <c:txPr>
              <a:bodyPr/>
              <a:lstStyle/>
              <a:p>
                <a:pPr lvl="0">
                  <a:defRPr sz="900" b="1"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'Proy. ventas'!$I$144</c:f>
              <c:numCache>
                <c:formatCode>_-* #,##0\ _€_-;\-* #,##0\ _€_-;_-* "-"??\ _€_-;_-@</c:formatCode>
                <c:ptCount val="1"/>
                <c:pt idx="0">
                  <c:v>6</c:v>
                </c:pt>
              </c:numCache>
            </c:numRef>
          </c:val>
          <c:smooth val="0"/>
          <c:extLst>
            <c:ext xmlns:c16="http://schemas.microsoft.com/office/drawing/2014/chart" uri="{C3380CC4-5D6E-409C-BE32-E72D297353CC}">
              <c16:uniqueId val="{00000002-8F5D-44D4-8D56-75319B5DC802}"/>
            </c:ext>
          </c:extLst>
        </c:ser>
        <c:ser>
          <c:idx val="3"/>
          <c:order val="3"/>
          <c:spPr>
            <a:ln cmpd="sng">
              <a:solidFill>
                <a:srgbClr val="FFC000"/>
              </a:solidFill>
              <a:prstDash val="solid"/>
            </a:ln>
          </c:spPr>
          <c:marker>
            <c:symbol val="none"/>
          </c:marker>
          <c:val>
            <c:numRef>
              <c:f>'Proy. ventas'!$K$144</c:f>
              <c:numCache>
                <c:formatCode>_-* #,##0\ _€_-;\-* #,##0\ _€_-;_-* "-"??\ _€_-;_-@</c:formatCode>
                <c:ptCount val="1"/>
                <c:pt idx="0">
                  <c:v>6</c:v>
                </c:pt>
              </c:numCache>
            </c:numRef>
          </c:val>
          <c:smooth val="0"/>
          <c:extLst>
            <c:ext xmlns:c16="http://schemas.microsoft.com/office/drawing/2014/chart" uri="{C3380CC4-5D6E-409C-BE32-E72D297353CC}">
              <c16:uniqueId val="{00000003-8F5D-44D4-8D56-75319B5DC802}"/>
            </c:ext>
          </c:extLst>
        </c:ser>
        <c:ser>
          <c:idx val="4"/>
          <c:order val="4"/>
          <c:spPr>
            <a:ln cmpd="sng">
              <a:solidFill>
                <a:srgbClr val="5B9BD5"/>
              </a:solidFill>
              <a:prstDash val="solid"/>
            </a:ln>
          </c:spPr>
          <c:marker>
            <c:symbol val="none"/>
          </c:marker>
          <c:val>
            <c:numRef>
              <c:f>'Proy. ventas'!$M$144</c:f>
              <c:numCache>
                <c:formatCode>_-* #,##0\ _€_-;\-* #,##0\ _€_-;_-* "-"??\ _€_-;_-@</c:formatCode>
                <c:ptCount val="1"/>
                <c:pt idx="0">
                  <c:v>6</c:v>
                </c:pt>
              </c:numCache>
            </c:numRef>
          </c:val>
          <c:smooth val="0"/>
          <c:extLst>
            <c:ext xmlns:c16="http://schemas.microsoft.com/office/drawing/2014/chart" uri="{C3380CC4-5D6E-409C-BE32-E72D297353CC}">
              <c16:uniqueId val="{00000004-8F5D-44D4-8D56-75319B5DC802}"/>
            </c:ext>
          </c:extLst>
        </c:ser>
        <c:ser>
          <c:idx val="5"/>
          <c:order val="5"/>
          <c:spPr>
            <a:ln cmpd="sng">
              <a:solidFill>
                <a:srgbClr val="70AD47"/>
              </a:solidFill>
              <a:prstDash val="solid"/>
            </a:ln>
          </c:spPr>
          <c:marker>
            <c:symbol val="none"/>
          </c:marker>
          <c:val>
            <c:numRef>
              <c:f>'Proy. ventas'!$O$144</c:f>
              <c:numCache>
                <c:formatCode>_-* #,##0\ _€_-;\-* #,##0\ _€_-;_-* "-"??\ _€_-;_-@</c:formatCode>
                <c:ptCount val="1"/>
                <c:pt idx="0">
                  <c:v>6</c:v>
                </c:pt>
              </c:numCache>
            </c:numRef>
          </c:val>
          <c:smooth val="0"/>
          <c:extLst>
            <c:ext xmlns:c16="http://schemas.microsoft.com/office/drawing/2014/chart" uri="{C3380CC4-5D6E-409C-BE32-E72D297353CC}">
              <c16:uniqueId val="{00000005-8F5D-44D4-8D56-75319B5DC802}"/>
            </c:ext>
          </c:extLst>
        </c:ser>
        <c:ser>
          <c:idx val="6"/>
          <c:order val="6"/>
          <c:spPr>
            <a:ln cmpd="sng">
              <a:solidFill>
                <a:srgbClr val="7C9CD6"/>
              </a:solidFill>
              <a:prstDash val="solid"/>
            </a:ln>
          </c:spPr>
          <c:marker>
            <c:symbol val="none"/>
          </c:marker>
          <c:val>
            <c:numRef>
              <c:f>'Proy. ventas'!$Q$144</c:f>
              <c:numCache>
                <c:formatCode>_-* #,##0\ _€_-;\-* #,##0\ _€_-;_-* "-"??\ _€_-;_-@</c:formatCode>
                <c:ptCount val="1"/>
                <c:pt idx="0">
                  <c:v>6</c:v>
                </c:pt>
              </c:numCache>
            </c:numRef>
          </c:val>
          <c:smooth val="0"/>
          <c:extLst>
            <c:ext xmlns:c16="http://schemas.microsoft.com/office/drawing/2014/chart" uri="{C3380CC4-5D6E-409C-BE32-E72D297353CC}">
              <c16:uniqueId val="{00000006-8F5D-44D4-8D56-75319B5DC802}"/>
            </c:ext>
          </c:extLst>
        </c:ser>
        <c:ser>
          <c:idx val="7"/>
          <c:order val="7"/>
          <c:spPr>
            <a:ln cmpd="sng">
              <a:solidFill>
                <a:srgbClr val="F2A46F"/>
              </a:solidFill>
              <a:prstDash val="solid"/>
            </a:ln>
          </c:spPr>
          <c:marker>
            <c:symbol val="none"/>
          </c:marker>
          <c:val>
            <c:numRef>
              <c:f>'Proy. ventas'!$S$144</c:f>
              <c:numCache>
                <c:formatCode>_-* #,##0\ _€_-;\-* #,##0\ _€_-;_-* "-"??\ _€_-;_-@</c:formatCode>
                <c:ptCount val="1"/>
                <c:pt idx="0">
                  <c:v>6</c:v>
                </c:pt>
              </c:numCache>
            </c:numRef>
          </c:val>
          <c:smooth val="0"/>
          <c:extLst>
            <c:ext xmlns:c16="http://schemas.microsoft.com/office/drawing/2014/chart" uri="{C3380CC4-5D6E-409C-BE32-E72D297353CC}">
              <c16:uniqueId val="{00000007-8F5D-44D4-8D56-75319B5DC802}"/>
            </c:ext>
          </c:extLst>
        </c:ser>
        <c:ser>
          <c:idx val="8"/>
          <c:order val="8"/>
          <c:spPr>
            <a:ln cmpd="sng">
              <a:solidFill>
                <a:srgbClr val="C0C0C0"/>
              </a:solidFill>
              <a:prstDash val="solid"/>
            </a:ln>
          </c:spPr>
          <c:marker>
            <c:symbol val="none"/>
          </c:marker>
          <c:val>
            <c:numRef>
              <c:f>'Proy. ventas'!$U$144</c:f>
              <c:numCache>
                <c:formatCode>_-* #,##0\ _€_-;\-* #,##0\ _€_-;_-* "-"??\ _€_-;_-@</c:formatCode>
                <c:ptCount val="1"/>
                <c:pt idx="0">
                  <c:v>6</c:v>
                </c:pt>
              </c:numCache>
            </c:numRef>
          </c:val>
          <c:smooth val="0"/>
          <c:extLst>
            <c:ext xmlns:c16="http://schemas.microsoft.com/office/drawing/2014/chart" uri="{C3380CC4-5D6E-409C-BE32-E72D297353CC}">
              <c16:uniqueId val="{00000008-8F5D-44D4-8D56-75319B5DC802}"/>
            </c:ext>
          </c:extLst>
        </c:ser>
        <c:ser>
          <c:idx val="9"/>
          <c:order val="9"/>
          <c:spPr>
            <a:ln cmpd="sng">
              <a:solidFill>
                <a:srgbClr val="FFD34D"/>
              </a:solidFill>
              <a:prstDash val="solid"/>
            </a:ln>
          </c:spPr>
          <c:marker>
            <c:symbol val="none"/>
          </c:marker>
          <c:val>
            <c:numRef>
              <c:f>'Proy. ventas'!$W$144</c:f>
              <c:numCache>
                <c:formatCode>_-* #,##0\ _€_-;\-* #,##0\ _€_-;_-* "-"??\ _€_-;_-@</c:formatCode>
                <c:ptCount val="1"/>
                <c:pt idx="0">
                  <c:v>6</c:v>
                </c:pt>
              </c:numCache>
            </c:numRef>
          </c:val>
          <c:smooth val="0"/>
          <c:extLst>
            <c:ext xmlns:c16="http://schemas.microsoft.com/office/drawing/2014/chart" uri="{C3380CC4-5D6E-409C-BE32-E72D297353CC}">
              <c16:uniqueId val="{00000009-8F5D-44D4-8D56-75319B5DC802}"/>
            </c:ext>
          </c:extLst>
        </c:ser>
        <c:ser>
          <c:idx val="10"/>
          <c:order val="10"/>
          <c:spPr>
            <a:ln cmpd="sng">
              <a:solidFill>
                <a:srgbClr val="8CB9E2"/>
              </a:solidFill>
              <a:prstDash val="solid"/>
            </a:ln>
          </c:spPr>
          <c:marker>
            <c:symbol val="none"/>
          </c:marker>
          <c:val>
            <c:numRef>
              <c:f>'Proy. ventas'!$Y$144</c:f>
              <c:numCache>
                <c:formatCode>_-* #,##0\ _€_-;\-* #,##0\ _€_-;_-* "-"??\ _€_-;_-@</c:formatCode>
                <c:ptCount val="1"/>
                <c:pt idx="0">
                  <c:v>6</c:v>
                </c:pt>
              </c:numCache>
            </c:numRef>
          </c:val>
          <c:smooth val="0"/>
          <c:extLst>
            <c:ext xmlns:c16="http://schemas.microsoft.com/office/drawing/2014/chart" uri="{C3380CC4-5D6E-409C-BE32-E72D297353CC}">
              <c16:uniqueId val="{0000000A-8F5D-44D4-8D56-75319B5DC802}"/>
            </c:ext>
          </c:extLst>
        </c:ser>
        <c:ser>
          <c:idx val="11"/>
          <c:order val="11"/>
          <c:spPr>
            <a:ln cmpd="sng">
              <a:solidFill>
                <a:srgbClr val="9BC67E"/>
              </a:solidFill>
              <a:prstDash val="solid"/>
            </a:ln>
          </c:spPr>
          <c:marker>
            <c:symbol val="none"/>
          </c:marker>
          <c:val>
            <c:numRef>
              <c:f>'Proy. ventas'!$AA$144</c:f>
              <c:numCache>
                <c:formatCode>_-* #,##0\ _€_-;\-* #,##0\ _€_-;_-* "-"??\ _€_-;_-@</c:formatCode>
                <c:ptCount val="1"/>
                <c:pt idx="0">
                  <c:v>5</c:v>
                </c:pt>
              </c:numCache>
            </c:numRef>
          </c:val>
          <c:smooth val="0"/>
          <c:extLst>
            <c:ext xmlns:c16="http://schemas.microsoft.com/office/drawing/2014/chart" uri="{C3380CC4-5D6E-409C-BE32-E72D297353CC}">
              <c16:uniqueId val="{0000000B-8F5D-44D4-8D56-75319B5DC802}"/>
            </c:ext>
          </c:extLst>
        </c:ser>
        <c:ser>
          <c:idx val="12"/>
          <c:order val="12"/>
          <c:spPr>
            <a:ln cmpd="sng">
              <a:solidFill>
                <a:srgbClr val="B4C7E7"/>
              </a:solidFill>
              <a:prstDash val="solid"/>
            </a:ln>
          </c:spPr>
          <c:marker>
            <c:symbol val="none"/>
          </c:marker>
          <c:val>
            <c:numRef>
              <c:f>'Proy. ventas'!$E$145</c:f>
              <c:numCache>
                <c:formatCode>_-* #,##0\ _€_-;\-* #,##0\ _€_-;_-* "-"??\ _€_-;_-@</c:formatCode>
                <c:ptCount val="1"/>
                <c:pt idx="0">
                  <c:v>12</c:v>
                </c:pt>
              </c:numCache>
            </c:numRef>
          </c:val>
          <c:smooth val="0"/>
          <c:extLst>
            <c:ext xmlns:c16="http://schemas.microsoft.com/office/drawing/2014/chart" uri="{C3380CC4-5D6E-409C-BE32-E72D297353CC}">
              <c16:uniqueId val="{0000000C-8F5D-44D4-8D56-75319B5DC802}"/>
            </c:ext>
          </c:extLst>
        </c:ser>
        <c:ser>
          <c:idx val="13"/>
          <c:order val="13"/>
          <c:spPr>
            <a:ln cmpd="sng">
              <a:solidFill>
                <a:srgbClr val="F8CBAD"/>
              </a:solidFill>
              <a:prstDash val="solid"/>
            </a:ln>
          </c:spPr>
          <c:marker>
            <c:symbol val="none"/>
          </c:marker>
          <c:val>
            <c:numRef>
              <c:f>'Proy. ventas'!$G$145</c:f>
              <c:numCache>
                <c:formatCode>_-* #,##0\ _€_-;\-* #,##0\ _€_-;_-* "-"??\ _€_-;_-@</c:formatCode>
                <c:ptCount val="1"/>
                <c:pt idx="0">
                  <c:v>12</c:v>
                </c:pt>
              </c:numCache>
            </c:numRef>
          </c:val>
          <c:smooth val="0"/>
          <c:extLst>
            <c:ext xmlns:c16="http://schemas.microsoft.com/office/drawing/2014/chart" uri="{C3380CC4-5D6E-409C-BE32-E72D297353CC}">
              <c16:uniqueId val="{0000000D-8F5D-44D4-8D56-75319B5DC802}"/>
            </c:ext>
          </c:extLst>
        </c:ser>
        <c:ser>
          <c:idx val="14"/>
          <c:order val="14"/>
          <c:spPr>
            <a:ln cmpd="sng">
              <a:solidFill>
                <a:srgbClr val="DBDBDB"/>
              </a:solidFill>
              <a:prstDash val="solid"/>
            </a:ln>
          </c:spPr>
          <c:marker>
            <c:symbol val="none"/>
          </c:marker>
          <c:val>
            <c:numRef>
              <c:f>'Proy. ventas'!$I$145</c:f>
              <c:numCache>
                <c:formatCode>_-* #,##0\ _€_-;\-* #,##0\ _€_-;_-* "-"??\ _€_-;_-@</c:formatCode>
                <c:ptCount val="1"/>
                <c:pt idx="0">
                  <c:v>12</c:v>
                </c:pt>
              </c:numCache>
            </c:numRef>
          </c:val>
          <c:smooth val="0"/>
          <c:extLst>
            <c:ext xmlns:c16="http://schemas.microsoft.com/office/drawing/2014/chart" uri="{C3380CC4-5D6E-409C-BE32-E72D297353CC}">
              <c16:uniqueId val="{0000000E-8F5D-44D4-8D56-75319B5DC802}"/>
            </c:ext>
          </c:extLst>
        </c:ser>
        <c:ser>
          <c:idx val="15"/>
          <c:order val="15"/>
          <c:spPr>
            <a:ln cmpd="sng">
              <a:solidFill>
                <a:srgbClr val="FFE699"/>
              </a:solidFill>
              <a:prstDash val="solid"/>
            </a:ln>
          </c:spPr>
          <c:marker>
            <c:symbol val="none"/>
          </c:marker>
          <c:val>
            <c:numRef>
              <c:f>'Proy. ventas'!$K$145</c:f>
              <c:numCache>
                <c:formatCode>_-* #,##0\ _€_-;\-* #,##0\ _€_-;_-* "-"??\ _€_-;_-@</c:formatCode>
                <c:ptCount val="1"/>
                <c:pt idx="0">
                  <c:v>12</c:v>
                </c:pt>
              </c:numCache>
            </c:numRef>
          </c:val>
          <c:smooth val="0"/>
          <c:extLst>
            <c:ext xmlns:c16="http://schemas.microsoft.com/office/drawing/2014/chart" uri="{C3380CC4-5D6E-409C-BE32-E72D297353CC}">
              <c16:uniqueId val="{0000000F-8F5D-44D4-8D56-75319B5DC802}"/>
            </c:ext>
          </c:extLst>
        </c:ser>
        <c:ser>
          <c:idx val="16"/>
          <c:order val="16"/>
          <c:spPr>
            <a:ln cmpd="sng">
              <a:solidFill>
                <a:srgbClr val="BDD7EE"/>
              </a:solidFill>
              <a:prstDash val="solid"/>
            </a:ln>
          </c:spPr>
          <c:marker>
            <c:symbol val="none"/>
          </c:marker>
          <c:val>
            <c:numRef>
              <c:f>'Proy. ventas'!$M$145</c:f>
              <c:numCache>
                <c:formatCode>_-* #,##0\ _€_-;\-* #,##0\ _€_-;_-* "-"??\ _€_-;_-@</c:formatCode>
                <c:ptCount val="1"/>
                <c:pt idx="0">
                  <c:v>12</c:v>
                </c:pt>
              </c:numCache>
            </c:numRef>
          </c:val>
          <c:smooth val="0"/>
          <c:extLst>
            <c:ext xmlns:c16="http://schemas.microsoft.com/office/drawing/2014/chart" uri="{C3380CC4-5D6E-409C-BE32-E72D297353CC}">
              <c16:uniqueId val="{00000010-8F5D-44D4-8D56-75319B5DC802}"/>
            </c:ext>
          </c:extLst>
        </c:ser>
        <c:ser>
          <c:idx val="17"/>
          <c:order val="17"/>
          <c:spPr>
            <a:ln cmpd="sng">
              <a:solidFill>
                <a:srgbClr val="C6DEB5"/>
              </a:solidFill>
              <a:prstDash val="solid"/>
            </a:ln>
          </c:spPr>
          <c:marker>
            <c:symbol val="none"/>
          </c:marker>
          <c:val>
            <c:numRef>
              <c:f>'Proy. ventas'!$O$145</c:f>
              <c:numCache>
                <c:formatCode>_-* #,##0\ _€_-;\-* #,##0\ _€_-;_-* "-"??\ _€_-;_-@</c:formatCode>
                <c:ptCount val="1"/>
                <c:pt idx="0">
                  <c:v>12</c:v>
                </c:pt>
              </c:numCache>
            </c:numRef>
          </c:val>
          <c:smooth val="0"/>
          <c:extLst>
            <c:ext xmlns:c16="http://schemas.microsoft.com/office/drawing/2014/chart" uri="{C3380CC4-5D6E-409C-BE32-E72D297353CC}">
              <c16:uniqueId val="{00000011-8F5D-44D4-8D56-75319B5DC802}"/>
            </c:ext>
          </c:extLst>
        </c:ser>
        <c:ser>
          <c:idx val="18"/>
          <c:order val="18"/>
          <c:spPr>
            <a:ln cmpd="sng">
              <a:solidFill>
                <a:srgbClr val="ECF1F9"/>
              </a:solidFill>
              <a:prstDash val="solid"/>
            </a:ln>
          </c:spPr>
          <c:marker>
            <c:symbol val="none"/>
          </c:marker>
          <c:val>
            <c:numRef>
              <c:f>'Proy. ventas'!$Q$145</c:f>
              <c:numCache>
                <c:formatCode>_-* #,##0\ _€_-;\-* #,##0\ _€_-;_-* "-"??\ _€_-;_-@</c:formatCode>
                <c:ptCount val="1"/>
                <c:pt idx="0">
                  <c:v>12</c:v>
                </c:pt>
              </c:numCache>
            </c:numRef>
          </c:val>
          <c:smooth val="0"/>
          <c:extLst>
            <c:ext xmlns:c16="http://schemas.microsoft.com/office/drawing/2014/chart" uri="{C3380CC4-5D6E-409C-BE32-E72D297353CC}">
              <c16:uniqueId val="{00000012-8F5D-44D4-8D56-75319B5DC802}"/>
            </c:ext>
          </c:extLst>
        </c:ser>
        <c:ser>
          <c:idx val="19"/>
          <c:order val="19"/>
          <c:spPr>
            <a:ln cmpd="sng">
              <a:solidFill>
                <a:srgbClr val="FDF2EA"/>
              </a:solidFill>
              <a:prstDash val="solid"/>
            </a:ln>
          </c:spPr>
          <c:marker>
            <c:symbol val="none"/>
          </c:marker>
          <c:val>
            <c:numRef>
              <c:f>'Proy. ventas'!$S$145</c:f>
              <c:numCache>
                <c:formatCode>_-* #,##0\ _€_-;\-* #,##0\ _€_-;_-* "-"??\ _€_-;_-@</c:formatCode>
                <c:ptCount val="1"/>
                <c:pt idx="0">
                  <c:v>12</c:v>
                </c:pt>
              </c:numCache>
            </c:numRef>
          </c:val>
          <c:smooth val="0"/>
          <c:extLst>
            <c:ext xmlns:c16="http://schemas.microsoft.com/office/drawing/2014/chart" uri="{C3380CC4-5D6E-409C-BE32-E72D297353CC}">
              <c16:uniqueId val="{00000013-8F5D-44D4-8D56-75319B5DC802}"/>
            </c:ext>
          </c:extLst>
        </c:ser>
        <c:ser>
          <c:idx val="20"/>
          <c:order val="20"/>
          <c:spPr>
            <a:ln cmpd="sng">
              <a:solidFill>
                <a:srgbClr val="F6F6F6"/>
              </a:solidFill>
              <a:prstDash val="solid"/>
            </a:ln>
          </c:spPr>
          <c:marker>
            <c:symbol val="none"/>
          </c:marker>
          <c:val>
            <c:numRef>
              <c:f>'Proy. ventas'!$U$145</c:f>
              <c:numCache>
                <c:formatCode>_-* #,##0\ _€_-;\-* #,##0\ _€_-;_-* "-"??\ _€_-;_-@</c:formatCode>
                <c:ptCount val="1"/>
                <c:pt idx="0">
                  <c:v>12</c:v>
                </c:pt>
              </c:numCache>
            </c:numRef>
          </c:val>
          <c:smooth val="0"/>
          <c:extLst>
            <c:ext xmlns:c16="http://schemas.microsoft.com/office/drawing/2014/chart" uri="{C3380CC4-5D6E-409C-BE32-E72D297353CC}">
              <c16:uniqueId val="{00000014-8F5D-44D4-8D56-75319B5DC802}"/>
            </c:ext>
          </c:extLst>
        </c:ser>
        <c:ser>
          <c:idx val="21"/>
          <c:order val="21"/>
          <c:spPr>
            <a:ln cmpd="sng">
              <a:solidFill>
                <a:srgbClr val="FFF9E6"/>
              </a:solidFill>
              <a:prstDash val="solid"/>
            </a:ln>
          </c:spPr>
          <c:marker>
            <c:symbol val="none"/>
          </c:marker>
          <c:val>
            <c:numRef>
              <c:f>'Proy. ventas'!$W$145</c:f>
              <c:numCache>
                <c:formatCode>_-* #,##0\ _€_-;\-* #,##0\ _€_-;_-* "-"??\ _€_-;_-@</c:formatCode>
                <c:ptCount val="1"/>
                <c:pt idx="0">
                  <c:v>12</c:v>
                </c:pt>
              </c:numCache>
            </c:numRef>
          </c:val>
          <c:smooth val="0"/>
          <c:extLst>
            <c:ext xmlns:c16="http://schemas.microsoft.com/office/drawing/2014/chart" uri="{C3380CC4-5D6E-409C-BE32-E72D297353CC}">
              <c16:uniqueId val="{00000015-8F5D-44D4-8D56-75319B5DC802}"/>
            </c:ext>
          </c:extLst>
        </c:ser>
        <c:ser>
          <c:idx val="22"/>
          <c:order val="22"/>
          <c:spPr>
            <a:ln cmpd="sng">
              <a:solidFill>
                <a:srgbClr val="EFF5FB"/>
              </a:solidFill>
              <a:prstDash val="solid"/>
            </a:ln>
          </c:spPr>
          <c:marker>
            <c:symbol val="none"/>
          </c:marker>
          <c:val>
            <c:numRef>
              <c:f>'Proy. ventas'!$W$146</c:f>
              <c:numCache>
                <c:formatCode>_-* #,##0\ _€_-;\-* #,##0\ _€_-;_-* "-"??\ _€_-;_-@</c:formatCode>
                <c:ptCount val="1"/>
                <c:pt idx="0">
                  <c:v>2</c:v>
                </c:pt>
              </c:numCache>
            </c:numRef>
          </c:val>
          <c:smooth val="0"/>
          <c:extLst>
            <c:ext xmlns:c16="http://schemas.microsoft.com/office/drawing/2014/chart" uri="{C3380CC4-5D6E-409C-BE32-E72D297353CC}">
              <c16:uniqueId val="{00000016-8F5D-44D4-8D56-75319B5DC802}"/>
            </c:ext>
          </c:extLst>
        </c:ser>
        <c:ser>
          <c:idx val="23"/>
          <c:order val="23"/>
          <c:spPr>
            <a:ln cmpd="sng">
              <a:solidFill>
                <a:srgbClr val="F1F7ED"/>
              </a:solidFill>
              <a:prstDash val="solid"/>
            </a:ln>
          </c:spPr>
          <c:marker>
            <c:symbol val="none"/>
          </c:marker>
          <c:val>
            <c:numRef>
              <c:f>'Proy. ventas'!$Y$145</c:f>
              <c:numCache>
                <c:formatCode>_-* #,##0\ _€_-;\-* #,##0\ _€_-;_-* "-"??\ _€_-;_-@</c:formatCode>
                <c:ptCount val="1"/>
                <c:pt idx="0">
                  <c:v>12</c:v>
                </c:pt>
              </c:numCache>
            </c:numRef>
          </c:val>
          <c:smooth val="0"/>
          <c:extLst>
            <c:ext xmlns:c16="http://schemas.microsoft.com/office/drawing/2014/chart" uri="{C3380CC4-5D6E-409C-BE32-E72D297353CC}">
              <c16:uniqueId val="{00000017-8F5D-44D4-8D56-75319B5DC802}"/>
            </c:ext>
          </c:extLst>
        </c:ser>
        <c:ser>
          <c:idx val="24"/>
          <c:order val="24"/>
          <c:spPr>
            <a:ln cmpd="sng">
              <a:solidFill>
                <a:srgbClr val="241B0B"/>
              </a:solidFill>
              <a:prstDash val="solid"/>
            </a:ln>
          </c:spPr>
          <c:marker>
            <c:symbol val="none"/>
          </c:marker>
          <c:val>
            <c:numRef>
              <c:f>'Proy. ventas'!$AA$145</c:f>
              <c:numCache>
                <c:formatCode>_-* #,##0\ _€_-;\-* #,##0\ _€_-;_-* "-"??\ _€_-;_-@</c:formatCode>
                <c:ptCount val="1"/>
                <c:pt idx="0">
                  <c:v>11</c:v>
                </c:pt>
              </c:numCache>
            </c:numRef>
          </c:val>
          <c:smooth val="0"/>
          <c:extLst>
            <c:ext xmlns:c16="http://schemas.microsoft.com/office/drawing/2014/chart" uri="{C3380CC4-5D6E-409C-BE32-E72D297353CC}">
              <c16:uniqueId val="{00000018-8F5D-44D4-8D56-75319B5DC802}"/>
            </c:ext>
          </c:extLst>
        </c:ser>
        <c:ser>
          <c:idx val="25"/>
          <c:order val="25"/>
          <c:spPr>
            <a:ln cmpd="sng">
              <a:solidFill>
                <a:srgbClr val="031928"/>
              </a:solidFill>
              <a:prstDash val="solid"/>
            </a:ln>
          </c:spPr>
          <c:marker>
            <c:symbol val="none"/>
          </c:marker>
          <c:val>
            <c:numRef>
              <c:f>'Proy. ventas'!$E$146</c:f>
              <c:numCache>
                <c:formatCode>_-* #,##0\ _€_-;\-* #,##0\ _€_-;_-* "-"??\ _€_-;_-@</c:formatCode>
                <c:ptCount val="1"/>
                <c:pt idx="0">
                  <c:v>2</c:v>
                </c:pt>
              </c:numCache>
            </c:numRef>
          </c:val>
          <c:smooth val="0"/>
          <c:extLst>
            <c:ext xmlns:c16="http://schemas.microsoft.com/office/drawing/2014/chart" uri="{C3380CC4-5D6E-409C-BE32-E72D297353CC}">
              <c16:uniqueId val="{00000019-8F5D-44D4-8D56-75319B5DC802}"/>
            </c:ext>
          </c:extLst>
        </c:ser>
        <c:ser>
          <c:idx val="26"/>
          <c:order val="26"/>
          <c:spPr>
            <a:ln cmpd="sng">
              <a:solidFill>
                <a:srgbClr val="111111"/>
              </a:solidFill>
              <a:prstDash val="solid"/>
            </a:ln>
          </c:spPr>
          <c:marker>
            <c:symbol val="none"/>
          </c:marker>
          <c:val>
            <c:numRef>
              <c:f>'Proy. ventas'!$G$146</c:f>
              <c:numCache>
                <c:formatCode>_-* #,##0\ _€_-;\-* #,##0\ _€_-;_-* "-"??\ _€_-;_-@</c:formatCode>
                <c:ptCount val="1"/>
                <c:pt idx="0">
                  <c:v>2</c:v>
                </c:pt>
              </c:numCache>
            </c:numRef>
          </c:val>
          <c:smooth val="0"/>
          <c:extLst>
            <c:ext xmlns:c16="http://schemas.microsoft.com/office/drawing/2014/chart" uri="{C3380CC4-5D6E-409C-BE32-E72D297353CC}">
              <c16:uniqueId val="{0000001A-8F5D-44D4-8D56-75319B5DC802}"/>
            </c:ext>
          </c:extLst>
        </c:ser>
        <c:ser>
          <c:idx val="27"/>
          <c:order val="27"/>
          <c:spPr>
            <a:ln cmpd="sng">
              <a:solidFill>
                <a:srgbClr val="FF0C32"/>
              </a:solidFill>
              <a:prstDash val="solid"/>
            </a:ln>
          </c:spPr>
          <c:marker>
            <c:symbol val="none"/>
          </c:marker>
          <c:val>
            <c:numRef>
              <c:f>'Proy. ventas'!$I$146</c:f>
              <c:numCache>
                <c:formatCode>_-* #,##0\ _€_-;\-* #,##0\ _€_-;_-* "-"??\ _€_-;_-@</c:formatCode>
                <c:ptCount val="1"/>
                <c:pt idx="0">
                  <c:v>2</c:v>
                </c:pt>
              </c:numCache>
            </c:numRef>
          </c:val>
          <c:smooth val="0"/>
          <c:extLst>
            <c:ext xmlns:c16="http://schemas.microsoft.com/office/drawing/2014/chart" uri="{C3380CC4-5D6E-409C-BE32-E72D297353CC}">
              <c16:uniqueId val="{0000001B-8F5D-44D4-8D56-75319B5DC802}"/>
            </c:ext>
          </c:extLst>
        </c:ser>
        <c:ser>
          <c:idx val="28"/>
          <c:order val="28"/>
          <c:spPr>
            <a:ln cmpd="sng">
              <a:solidFill>
                <a:srgbClr val="201307"/>
              </a:solidFill>
              <a:prstDash val="solid"/>
            </a:ln>
          </c:spPr>
          <c:marker>
            <c:symbol val="none"/>
          </c:marker>
          <c:val>
            <c:numRef>
              <c:f>'Proy. ventas'!$K$146</c:f>
              <c:numCache>
                <c:formatCode>_-* #,##0\ _€_-;\-* #,##0\ _€_-;_-* "-"??\ _€_-;_-@</c:formatCode>
                <c:ptCount val="1"/>
                <c:pt idx="0">
                  <c:v>2</c:v>
                </c:pt>
              </c:numCache>
            </c:numRef>
          </c:val>
          <c:smooth val="0"/>
          <c:extLst>
            <c:ext xmlns:c16="http://schemas.microsoft.com/office/drawing/2014/chart" uri="{C3380CC4-5D6E-409C-BE32-E72D297353CC}">
              <c16:uniqueId val="{0000001C-8F5D-44D4-8D56-75319B5DC802}"/>
            </c:ext>
          </c:extLst>
        </c:ser>
        <c:ser>
          <c:idx val="29"/>
          <c:order val="29"/>
          <c:spPr>
            <a:ln cmpd="sng">
              <a:solidFill>
                <a:srgbClr val="1C0F24"/>
              </a:solidFill>
              <a:prstDash val="solid"/>
            </a:ln>
          </c:spPr>
          <c:marker>
            <c:symbol val="none"/>
          </c:marker>
          <c:val>
            <c:numRef>
              <c:f>'Proy. ventas'!$M$146</c:f>
              <c:numCache>
                <c:formatCode>_-* #,##0\ _€_-;\-* #,##0\ _€_-;_-* "-"??\ _€_-;_-@</c:formatCode>
                <c:ptCount val="1"/>
                <c:pt idx="0">
                  <c:v>2</c:v>
                </c:pt>
              </c:numCache>
            </c:numRef>
          </c:val>
          <c:smooth val="0"/>
          <c:extLst>
            <c:ext xmlns:c16="http://schemas.microsoft.com/office/drawing/2014/chart" uri="{C3380CC4-5D6E-409C-BE32-E72D297353CC}">
              <c16:uniqueId val="{0000001D-8F5D-44D4-8D56-75319B5DC802}"/>
            </c:ext>
          </c:extLst>
        </c:ser>
        <c:ser>
          <c:idx val="30"/>
          <c:order val="30"/>
          <c:spPr>
            <a:ln cmpd="sng">
              <a:solidFill>
                <a:srgbClr val="5D461D"/>
              </a:solidFill>
              <a:prstDash val="solid"/>
            </a:ln>
          </c:spPr>
          <c:marker>
            <c:symbol val="none"/>
          </c:marker>
          <c:val>
            <c:numRef>
              <c:f>'Proy. ventas'!$O$146</c:f>
              <c:numCache>
                <c:formatCode>_-* #,##0\ _€_-;\-* #,##0\ _€_-;_-* "-"??\ _€_-;_-@</c:formatCode>
                <c:ptCount val="1"/>
                <c:pt idx="0">
                  <c:v>2</c:v>
                </c:pt>
              </c:numCache>
            </c:numRef>
          </c:val>
          <c:smooth val="0"/>
          <c:extLst>
            <c:ext xmlns:c16="http://schemas.microsoft.com/office/drawing/2014/chart" uri="{C3380CC4-5D6E-409C-BE32-E72D297353CC}">
              <c16:uniqueId val="{0000001E-8F5D-44D4-8D56-75319B5DC802}"/>
            </c:ext>
          </c:extLst>
        </c:ser>
        <c:ser>
          <c:idx val="31"/>
          <c:order val="31"/>
          <c:spPr>
            <a:ln cmpd="sng">
              <a:solidFill>
                <a:srgbClr val="084066"/>
              </a:solidFill>
              <a:prstDash val="solid"/>
            </a:ln>
          </c:spPr>
          <c:marker>
            <c:symbol val="none"/>
          </c:marker>
          <c:val>
            <c:numRef>
              <c:f>'Proy. ventas'!$Q$146</c:f>
              <c:numCache>
                <c:formatCode>_-* #,##0\ _€_-;\-* #,##0\ _€_-;_-* "-"??\ _€_-;_-@</c:formatCode>
                <c:ptCount val="1"/>
                <c:pt idx="0">
                  <c:v>2</c:v>
                </c:pt>
              </c:numCache>
            </c:numRef>
          </c:val>
          <c:smooth val="0"/>
          <c:extLst>
            <c:ext xmlns:c16="http://schemas.microsoft.com/office/drawing/2014/chart" uri="{C3380CC4-5D6E-409C-BE32-E72D297353CC}">
              <c16:uniqueId val="{0000001F-8F5D-44D4-8D56-75319B5DC802}"/>
            </c:ext>
          </c:extLst>
        </c:ser>
        <c:ser>
          <c:idx val="32"/>
          <c:order val="32"/>
          <c:spPr>
            <a:ln cmpd="sng">
              <a:solidFill>
                <a:srgbClr val="2C2C2C"/>
              </a:solidFill>
              <a:prstDash val="solid"/>
            </a:ln>
          </c:spPr>
          <c:marker>
            <c:symbol val="none"/>
          </c:marker>
          <c:val>
            <c:numRef>
              <c:f>'Proy. ventas'!$S$146</c:f>
              <c:numCache>
                <c:formatCode>_-* #,##0\ _€_-;\-* #,##0\ _€_-;_-* "-"??\ _€_-;_-@</c:formatCode>
                <c:ptCount val="1"/>
                <c:pt idx="0">
                  <c:v>2</c:v>
                </c:pt>
              </c:numCache>
            </c:numRef>
          </c:val>
          <c:smooth val="0"/>
          <c:extLst>
            <c:ext xmlns:c16="http://schemas.microsoft.com/office/drawing/2014/chart" uri="{C3380CC4-5D6E-409C-BE32-E72D297353CC}">
              <c16:uniqueId val="{00000020-8F5D-44D4-8D56-75319B5DC802}"/>
            </c:ext>
          </c:extLst>
        </c:ser>
        <c:ser>
          <c:idx val="33"/>
          <c:order val="33"/>
          <c:spPr>
            <a:ln cmpd="sng">
              <a:solidFill>
                <a:srgbClr val="FF1F7F"/>
              </a:solidFill>
              <a:prstDash val="solid"/>
            </a:ln>
          </c:spPr>
          <c:marker>
            <c:symbol val="none"/>
          </c:marker>
          <c:val>
            <c:numRef>
              <c:f>'Proy. ventas'!$U$146</c:f>
              <c:numCache>
                <c:formatCode>_-* #,##0\ _€_-;\-* #,##0\ _€_-;_-* "-"??\ _€_-;_-@</c:formatCode>
                <c:ptCount val="1"/>
                <c:pt idx="0">
                  <c:v>2</c:v>
                </c:pt>
              </c:numCache>
            </c:numRef>
          </c:val>
          <c:smooth val="0"/>
          <c:extLst>
            <c:ext xmlns:c16="http://schemas.microsoft.com/office/drawing/2014/chart" uri="{C3380CC4-5D6E-409C-BE32-E72D297353CC}">
              <c16:uniqueId val="{00000021-8F5D-44D4-8D56-75319B5DC802}"/>
            </c:ext>
          </c:extLst>
        </c:ser>
        <c:ser>
          <c:idx val="34"/>
          <c:order val="34"/>
          <c:spPr>
            <a:ln cmpd="sng">
              <a:solidFill>
                <a:srgbClr val="513114"/>
              </a:solidFill>
              <a:prstDash val="solid"/>
            </a:ln>
          </c:spPr>
          <c:marker>
            <c:symbol val="none"/>
          </c:marker>
          <c:val>
            <c:numRef>
              <c:f>'Proy. ventas'!$W$146</c:f>
              <c:numCache>
                <c:formatCode>_-* #,##0\ _€_-;\-* #,##0\ _€_-;_-* "-"??\ _€_-;_-@</c:formatCode>
                <c:ptCount val="1"/>
                <c:pt idx="0">
                  <c:v>2</c:v>
                </c:pt>
              </c:numCache>
            </c:numRef>
          </c:val>
          <c:smooth val="0"/>
          <c:extLst>
            <c:ext xmlns:c16="http://schemas.microsoft.com/office/drawing/2014/chart" uri="{C3380CC4-5D6E-409C-BE32-E72D297353CC}">
              <c16:uniqueId val="{00000022-8F5D-44D4-8D56-75319B5DC802}"/>
            </c:ext>
          </c:extLst>
        </c:ser>
        <c:ser>
          <c:idx val="35"/>
          <c:order val="35"/>
          <c:spPr>
            <a:ln cmpd="sng">
              <a:solidFill>
                <a:srgbClr val="47285B"/>
              </a:solidFill>
              <a:prstDash val="solid"/>
            </a:ln>
          </c:spPr>
          <c:marker>
            <c:symbol val="none"/>
          </c:marker>
          <c:val>
            <c:numRef>
              <c:f>'Proy. ventas'!$Y$146</c:f>
              <c:numCache>
                <c:formatCode>_-* #,##0\ _€_-;\-* #,##0\ _€_-;_-* "-"??\ _€_-;_-@</c:formatCode>
                <c:ptCount val="1"/>
                <c:pt idx="0">
                  <c:v>2</c:v>
                </c:pt>
              </c:numCache>
            </c:numRef>
          </c:val>
          <c:smooth val="0"/>
          <c:extLst>
            <c:ext xmlns:c16="http://schemas.microsoft.com/office/drawing/2014/chart" uri="{C3380CC4-5D6E-409C-BE32-E72D297353CC}">
              <c16:uniqueId val="{00000023-8F5D-44D4-8D56-75319B5DC802}"/>
            </c:ext>
          </c:extLst>
        </c:ser>
        <c:ser>
          <c:idx val="36"/>
          <c:order val="36"/>
          <c:spPr>
            <a:ln cmpd="sng">
              <a:solidFill>
                <a:srgbClr val="966108"/>
              </a:solidFill>
              <a:prstDash val="solid"/>
            </a:ln>
          </c:spPr>
          <c:marker>
            <c:symbol val="none"/>
          </c:marker>
          <c:val>
            <c:numRef>
              <c:f>'Proy. ventas'!$AA$146</c:f>
              <c:numCache>
                <c:formatCode>_-* #,##0\ _€_-;\-* #,##0\ _€_-;_-* "-"??\ _€_-;_-@</c:formatCode>
                <c:ptCount val="1"/>
                <c:pt idx="0">
                  <c:v>2</c:v>
                </c:pt>
              </c:numCache>
            </c:numRef>
          </c:val>
          <c:smooth val="0"/>
          <c:extLst>
            <c:ext xmlns:c16="http://schemas.microsoft.com/office/drawing/2014/chart" uri="{C3380CC4-5D6E-409C-BE32-E72D297353CC}">
              <c16:uniqueId val="{00000024-8F5D-44D4-8D56-75319B5DC802}"/>
            </c:ext>
          </c:extLst>
        </c:ser>
        <c:dLbls>
          <c:showLegendKey val="0"/>
          <c:showVal val="0"/>
          <c:showCatName val="0"/>
          <c:showSerName val="0"/>
          <c:showPercent val="0"/>
          <c:showBubbleSize val="0"/>
        </c:dLbls>
        <c:marker val="1"/>
        <c:smooth val="0"/>
        <c:axId val="1818101648"/>
        <c:axId val="1818106544"/>
      </c:lineChart>
      <c:catAx>
        <c:axId val="1818101648"/>
        <c:scaling>
          <c:orientation val="minMax"/>
        </c:scaling>
        <c:delete val="0"/>
        <c:axPos val="b"/>
        <c:title>
          <c:tx>
            <c:rich>
              <a:bodyPr/>
              <a:lstStyle/>
              <a:p>
                <a:pPr lvl="0">
                  <a:defRPr b="0">
                    <a:solidFill>
                      <a:srgbClr val="000000"/>
                    </a:solidFill>
                    <a:latin typeface="+mn-lt"/>
                  </a:defRPr>
                </a:pPr>
                <a:r>
                  <a:t>None</a:t>
                </a:r>
                <a:endParaRPr lang="es-A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AR"/>
          </a:p>
        </c:txPr>
        <c:crossAx val="1818106544"/>
        <c:crosses val="autoZero"/>
        <c:auto val="1"/>
        <c:lblAlgn val="ctr"/>
        <c:lblOffset val="100"/>
        <c:noMultiLvlLbl val="1"/>
      </c:catAx>
      <c:valAx>
        <c:axId val="1818106544"/>
        <c:scaling>
          <c:orientation val="minMax"/>
        </c:scaling>
        <c:delete val="0"/>
        <c:axPos val="l"/>
        <c:majorGridlines>
          <c:spPr>
            <a:ln>
              <a:solidFill>
                <a:srgbClr val="B7B7B7"/>
              </a:solidFill>
              <a:prstDash val="solid"/>
            </a:ln>
          </c:spPr>
        </c:majorGridlines>
        <c:title>
          <c:tx>
            <c:rich>
              <a:bodyPr/>
              <a:lstStyle/>
              <a:p>
                <a:pPr lvl="0">
                  <a:defRPr b="0">
                    <a:solidFill>
                      <a:srgbClr val="000000"/>
                    </a:solidFill>
                    <a:latin typeface="+mn-lt"/>
                  </a:defRPr>
                </a:pPr>
                <a:r>
                  <a:t>None</a:t>
                </a:r>
                <a:endParaRPr lang="es-AR"/>
              </a:p>
            </c:rich>
          </c:tx>
          <c:overlay val="0"/>
        </c:title>
        <c:numFmt formatCode="_-* #,##0\ _€_-;\-* #,##0\ _€_-;_-* &quot;-&quot;??\ _€_-;_-@" sourceLinked="1"/>
        <c:majorTickMark val="out"/>
        <c:minorTickMark val="none"/>
        <c:tickLblPos val="nextTo"/>
        <c:spPr>
          <a:ln>
            <a:prstDash val="solid"/>
          </a:ln>
        </c:spPr>
        <c:txPr>
          <a:bodyPr/>
          <a:lstStyle/>
          <a:p>
            <a:pPr lvl="0">
              <a:defRPr sz="900" b="0" i="0">
                <a:solidFill>
                  <a:schemeClr val="dk1"/>
                </a:solidFill>
                <a:latin typeface="+mn-lt"/>
              </a:defRPr>
            </a:pPr>
            <a:endParaRPr lang="es-AR"/>
          </a:p>
        </c:txPr>
        <c:crossAx val="1818101648"/>
        <c:crosses val="autoZero"/>
        <c:crossBetween val="between"/>
      </c:valAx>
    </c:plotArea>
    <c:legend>
      <c:legendPos val="r"/>
      <c:overlay val="0"/>
      <c:txPr>
        <a:bodyPr/>
        <a:lstStyle/>
        <a:p>
          <a:pPr lvl="0">
            <a:defRPr sz="900" b="0" i="0">
              <a:solidFill>
                <a:schemeClr val="dk1"/>
              </a:solidFill>
              <a:latin typeface="+mn-lt"/>
            </a:defRPr>
          </a:pPr>
          <a:endParaRPr lang="es-AR"/>
        </a:p>
      </c:txPr>
    </c:legend>
    <c:plotVisOnly val="1"/>
    <c:dispBlanksAs val="zero"/>
    <c:showDLblsOverMax val="1"/>
  </c:chart>
  <c:spPr>
    <a:solidFill>
      <a:schemeClr val="lt1"/>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2026</a:t>
            </a:r>
          </a:p>
        </c:rich>
      </c:tx>
      <c:overlay val="0"/>
    </c:title>
    <c:autoTitleDeleted val="0"/>
    <c:plotArea>
      <c:layout/>
      <c:pieChart>
        <c:varyColors val="1"/>
        <c:ser>
          <c:idx val="0"/>
          <c:order val="0"/>
          <c:tx>
            <c:strRef>
              <c:f>'Mod. ingresos'!$C$16</c:f>
              <c:strCache>
                <c:ptCount val="1"/>
                <c:pt idx="0">
                  <c:v> Ingresos 2026</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E10E-4EBE-8717-9B2FF55A3146}"/>
              </c:ext>
            </c:extLst>
          </c:dPt>
          <c:dPt>
            <c:idx val="1"/>
            <c:bubble3D val="0"/>
            <c:spPr>
              <a:solidFill>
                <a:schemeClr val="accent2"/>
              </a:solidFill>
              <a:ln>
                <a:prstDash val="solid"/>
              </a:ln>
            </c:spPr>
            <c:extLst>
              <c:ext xmlns:c16="http://schemas.microsoft.com/office/drawing/2014/chart" uri="{C3380CC4-5D6E-409C-BE32-E72D297353CC}">
                <c16:uniqueId val="{00000003-E10E-4EBE-8717-9B2FF55A3146}"/>
              </c:ext>
            </c:extLst>
          </c:dPt>
          <c:dPt>
            <c:idx val="2"/>
            <c:bubble3D val="0"/>
            <c:spPr>
              <a:solidFill>
                <a:schemeClr val="accent3"/>
              </a:solidFill>
              <a:ln>
                <a:prstDash val="solid"/>
              </a:ln>
            </c:spPr>
            <c:extLst>
              <c:ext xmlns:c16="http://schemas.microsoft.com/office/drawing/2014/chart" uri="{C3380CC4-5D6E-409C-BE32-E72D297353CC}">
                <c16:uniqueId val="{00000005-E10E-4EBE-8717-9B2FF55A3146}"/>
              </c:ext>
            </c:extLst>
          </c:dPt>
          <c:dPt>
            <c:idx val="3"/>
            <c:bubble3D val="0"/>
            <c:spPr>
              <a:solidFill>
                <a:schemeClr val="accent4"/>
              </a:solidFill>
              <a:ln>
                <a:prstDash val="solid"/>
              </a:ln>
            </c:spPr>
            <c:extLst>
              <c:ext xmlns:c16="http://schemas.microsoft.com/office/drawing/2014/chart" uri="{C3380CC4-5D6E-409C-BE32-E72D297353CC}">
                <c16:uniqueId val="{00000007-E10E-4EBE-8717-9B2FF55A3146}"/>
              </c:ext>
            </c:extLst>
          </c:dPt>
          <c:dPt>
            <c:idx val="4"/>
            <c:bubble3D val="0"/>
            <c:spPr>
              <a:solidFill>
                <a:schemeClr val="accent5"/>
              </a:solidFill>
              <a:ln>
                <a:prstDash val="solid"/>
              </a:ln>
            </c:spPr>
            <c:extLst>
              <c:ext xmlns:c16="http://schemas.microsoft.com/office/drawing/2014/chart" uri="{C3380CC4-5D6E-409C-BE32-E72D297353CC}">
                <c16:uniqueId val="{00000009-E10E-4EBE-8717-9B2FF55A3146}"/>
              </c:ext>
            </c:extLst>
          </c:dPt>
          <c:dPt>
            <c:idx val="5"/>
            <c:bubble3D val="0"/>
            <c:spPr>
              <a:solidFill>
                <a:schemeClr val="accent6"/>
              </a:solidFill>
              <a:ln>
                <a:prstDash val="solid"/>
              </a:ln>
            </c:spPr>
            <c:extLst>
              <c:ext xmlns:c16="http://schemas.microsoft.com/office/drawing/2014/chart" uri="{C3380CC4-5D6E-409C-BE32-E72D297353CC}">
                <c16:uniqueId val="{0000000B-E10E-4EBE-8717-9B2FF55A3146}"/>
              </c:ext>
            </c:extLst>
          </c:dPt>
          <c:dPt>
            <c:idx val="6"/>
            <c:bubble3D val="0"/>
            <c:spPr>
              <a:solidFill>
                <a:schemeClr val="accent1"/>
              </a:solidFill>
              <a:ln>
                <a:prstDash val="solid"/>
              </a:ln>
            </c:spPr>
            <c:extLst>
              <c:ext xmlns:c16="http://schemas.microsoft.com/office/drawing/2014/chart" uri="{C3380CC4-5D6E-409C-BE32-E72D297353CC}">
                <c16:uniqueId val="{0000000D-E10E-4EBE-8717-9B2FF55A3146}"/>
              </c:ext>
            </c:extLst>
          </c:dPt>
          <c:dPt>
            <c:idx val="7"/>
            <c:bubble3D val="0"/>
            <c:spPr>
              <a:solidFill>
                <a:schemeClr val="accent2"/>
              </a:solidFill>
              <a:ln>
                <a:prstDash val="solid"/>
              </a:ln>
            </c:spPr>
            <c:extLst>
              <c:ext xmlns:c16="http://schemas.microsoft.com/office/drawing/2014/chart" uri="{C3380CC4-5D6E-409C-BE32-E72D297353CC}">
                <c16:uniqueId val="{0000000F-E10E-4EBE-8717-9B2FF55A3146}"/>
              </c:ext>
            </c:extLst>
          </c:dPt>
          <c:dPt>
            <c:idx val="8"/>
            <c:bubble3D val="0"/>
            <c:spPr>
              <a:solidFill>
                <a:schemeClr val="accent3"/>
              </a:solidFill>
              <a:ln>
                <a:prstDash val="solid"/>
              </a:ln>
            </c:spPr>
            <c:extLst>
              <c:ext xmlns:c16="http://schemas.microsoft.com/office/drawing/2014/chart" uri="{C3380CC4-5D6E-409C-BE32-E72D297353CC}">
                <c16:uniqueId val="{00000011-E10E-4EBE-8717-9B2FF55A3146}"/>
              </c:ext>
            </c:extLst>
          </c:dPt>
          <c:dPt>
            <c:idx val="9"/>
            <c:bubble3D val="0"/>
            <c:spPr>
              <a:solidFill>
                <a:schemeClr val="accent4"/>
              </a:solidFill>
              <a:ln>
                <a:prstDash val="solid"/>
              </a:ln>
            </c:spPr>
            <c:extLst>
              <c:ext xmlns:c16="http://schemas.microsoft.com/office/drawing/2014/chart" uri="{C3380CC4-5D6E-409C-BE32-E72D297353CC}">
                <c16:uniqueId val="{00000013-E10E-4EBE-8717-9B2FF55A3146}"/>
              </c:ext>
            </c:extLst>
          </c:dPt>
          <c:dPt>
            <c:idx val="10"/>
            <c:bubble3D val="0"/>
            <c:spPr>
              <a:solidFill>
                <a:schemeClr val="accent5"/>
              </a:solidFill>
              <a:ln>
                <a:prstDash val="solid"/>
              </a:ln>
            </c:spPr>
            <c:extLst>
              <c:ext xmlns:c16="http://schemas.microsoft.com/office/drawing/2014/chart" uri="{C3380CC4-5D6E-409C-BE32-E72D297353CC}">
                <c16:uniqueId val="{00000015-E10E-4EBE-8717-9B2FF55A3146}"/>
              </c:ext>
            </c:extLst>
          </c:dPt>
          <c:dPt>
            <c:idx val="11"/>
            <c:bubble3D val="0"/>
            <c:spPr>
              <a:solidFill>
                <a:schemeClr val="accent6"/>
              </a:solidFill>
              <a:ln>
                <a:prstDash val="solid"/>
              </a:ln>
            </c:spPr>
            <c:extLst>
              <c:ext xmlns:c16="http://schemas.microsoft.com/office/drawing/2014/chart" uri="{C3380CC4-5D6E-409C-BE32-E72D297353CC}">
                <c16:uniqueId val="{00000017-E10E-4EBE-8717-9B2FF55A3146}"/>
              </c:ext>
            </c:extLst>
          </c:dPt>
          <c:dPt>
            <c:idx val="12"/>
            <c:bubble3D val="0"/>
            <c:spPr>
              <a:solidFill>
                <a:schemeClr val="accent1"/>
              </a:solidFill>
              <a:ln>
                <a:prstDash val="solid"/>
              </a:ln>
            </c:spPr>
            <c:extLst>
              <c:ext xmlns:c16="http://schemas.microsoft.com/office/drawing/2014/chart" uri="{C3380CC4-5D6E-409C-BE32-E72D297353CC}">
                <c16:uniqueId val="{00000019-E10E-4EBE-8717-9B2FF55A3146}"/>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E10E-4EBE-8717-9B2FF55A3146}"/>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E10E-4EBE-8717-9B2FF55A3146}"/>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E10E-4EBE-8717-9B2FF55A3146}"/>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E10E-4EBE-8717-9B2FF55A3146}"/>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E10E-4EBE-8717-9B2FF55A3146}"/>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E10E-4EBE-8717-9B2FF55A3146}"/>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E10E-4EBE-8717-9B2FF55A3146}"/>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E10E-4EBE-8717-9B2FF55A3146}"/>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E10E-4EBE-8717-9B2FF55A3146}"/>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E10E-4EBE-8717-9B2FF55A3146}"/>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E10E-4EBE-8717-9B2FF55A3146}"/>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E10E-4EBE-8717-9B2FF55A3146}"/>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E10E-4EBE-8717-9B2FF55A3146}"/>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ingresos'!$C$17:$C$29</c:f>
              <c:numCache>
                <c:formatCode>_-"$"\ * #,##0.00_-;\-"$"\ * #,##0.00_-;_-"$"\ * "-"??_-;_-@</c:formatCode>
                <c:ptCount val="6"/>
                <c:pt idx="0">
                  <c:v>750</c:v>
                </c:pt>
                <c:pt idx="1">
                  <c:v>3720</c:v>
                </c:pt>
                <c:pt idx="2">
                  <c:v>2500</c:v>
                </c:pt>
                <c:pt idx="3">
                  <c:v>2220</c:v>
                </c:pt>
                <c:pt idx="4">
                  <c:v>8671</c:v>
                </c:pt>
                <c:pt idx="5">
                  <c:v>3002</c:v>
                </c:pt>
              </c:numCache>
            </c:numRef>
          </c:val>
          <c:extLst>
            <c:ext xmlns:c16="http://schemas.microsoft.com/office/drawing/2014/chart" uri="{C3380CC4-5D6E-409C-BE32-E72D297353CC}">
              <c16:uniqueId val="{0000001A-E10E-4EBE-8717-9B2FF55A3146}"/>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2028</a:t>
            </a:r>
          </a:p>
        </c:rich>
      </c:tx>
      <c:overlay val="0"/>
    </c:title>
    <c:autoTitleDeleted val="0"/>
    <c:plotArea>
      <c:layout/>
      <c:pieChart>
        <c:varyColors val="1"/>
        <c:ser>
          <c:idx val="0"/>
          <c:order val="0"/>
          <c:tx>
            <c:strRef>
              <c:f>'Mod. ingresos'!$E$16</c:f>
              <c:strCache>
                <c:ptCount val="1"/>
                <c:pt idx="0">
                  <c:v> Ingresos 2028</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3FFA-4849-B1AE-9009A8C5759E}"/>
              </c:ext>
            </c:extLst>
          </c:dPt>
          <c:dPt>
            <c:idx val="1"/>
            <c:bubble3D val="0"/>
            <c:spPr>
              <a:solidFill>
                <a:schemeClr val="accent2"/>
              </a:solidFill>
              <a:ln>
                <a:prstDash val="solid"/>
              </a:ln>
            </c:spPr>
            <c:extLst>
              <c:ext xmlns:c16="http://schemas.microsoft.com/office/drawing/2014/chart" uri="{C3380CC4-5D6E-409C-BE32-E72D297353CC}">
                <c16:uniqueId val="{00000003-3FFA-4849-B1AE-9009A8C5759E}"/>
              </c:ext>
            </c:extLst>
          </c:dPt>
          <c:dPt>
            <c:idx val="2"/>
            <c:bubble3D val="0"/>
            <c:spPr>
              <a:solidFill>
                <a:schemeClr val="accent3"/>
              </a:solidFill>
              <a:ln>
                <a:prstDash val="solid"/>
              </a:ln>
            </c:spPr>
            <c:extLst>
              <c:ext xmlns:c16="http://schemas.microsoft.com/office/drawing/2014/chart" uri="{C3380CC4-5D6E-409C-BE32-E72D297353CC}">
                <c16:uniqueId val="{00000005-3FFA-4849-B1AE-9009A8C5759E}"/>
              </c:ext>
            </c:extLst>
          </c:dPt>
          <c:dPt>
            <c:idx val="3"/>
            <c:bubble3D val="0"/>
            <c:spPr>
              <a:solidFill>
                <a:schemeClr val="accent4"/>
              </a:solidFill>
              <a:ln>
                <a:prstDash val="solid"/>
              </a:ln>
            </c:spPr>
            <c:extLst>
              <c:ext xmlns:c16="http://schemas.microsoft.com/office/drawing/2014/chart" uri="{C3380CC4-5D6E-409C-BE32-E72D297353CC}">
                <c16:uniqueId val="{00000007-3FFA-4849-B1AE-9009A8C5759E}"/>
              </c:ext>
            </c:extLst>
          </c:dPt>
          <c:dPt>
            <c:idx val="4"/>
            <c:bubble3D val="0"/>
            <c:spPr>
              <a:solidFill>
                <a:schemeClr val="accent5"/>
              </a:solidFill>
              <a:ln>
                <a:prstDash val="solid"/>
              </a:ln>
            </c:spPr>
            <c:extLst>
              <c:ext xmlns:c16="http://schemas.microsoft.com/office/drawing/2014/chart" uri="{C3380CC4-5D6E-409C-BE32-E72D297353CC}">
                <c16:uniqueId val="{00000009-3FFA-4849-B1AE-9009A8C5759E}"/>
              </c:ext>
            </c:extLst>
          </c:dPt>
          <c:dPt>
            <c:idx val="5"/>
            <c:bubble3D val="0"/>
            <c:spPr>
              <a:solidFill>
                <a:schemeClr val="accent6"/>
              </a:solidFill>
              <a:ln>
                <a:prstDash val="solid"/>
              </a:ln>
            </c:spPr>
            <c:extLst>
              <c:ext xmlns:c16="http://schemas.microsoft.com/office/drawing/2014/chart" uri="{C3380CC4-5D6E-409C-BE32-E72D297353CC}">
                <c16:uniqueId val="{0000000B-3FFA-4849-B1AE-9009A8C5759E}"/>
              </c:ext>
            </c:extLst>
          </c:dPt>
          <c:dPt>
            <c:idx val="6"/>
            <c:bubble3D val="0"/>
            <c:spPr>
              <a:solidFill>
                <a:schemeClr val="accent1"/>
              </a:solidFill>
              <a:ln>
                <a:prstDash val="solid"/>
              </a:ln>
            </c:spPr>
            <c:extLst>
              <c:ext xmlns:c16="http://schemas.microsoft.com/office/drawing/2014/chart" uri="{C3380CC4-5D6E-409C-BE32-E72D297353CC}">
                <c16:uniqueId val="{0000000D-3FFA-4849-B1AE-9009A8C5759E}"/>
              </c:ext>
            </c:extLst>
          </c:dPt>
          <c:dPt>
            <c:idx val="7"/>
            <c:bubble3D val="0"/>
            <c:spPr>
              <a:solidFill>
                <a:schemeClr val="accent2"/>
              </a:solidFill>
              <a:ln>
                <a:prstDash val="solid"/>
              </a:ln>
            </c:spPr>
            <c:extLst>
              <c:ext xmlns:c16="http://schemas.microsoft.com/office/drawing/2014/chart" uri="{C3380CC4-5D6E-409C-BE32-E72D297353CC}">
                <c16:uniqueId val="{0000000F-3FFA-4849-B1AE-9009A8C5759E}"/>
              </c:ext>
            </c:extLst>
          </c:dPt>
          <c:dPt>
            <c:idx val="8"/>
            <c:bubble3D val="0"/>
            <c:spPr>
              <a:solidFill>
                <a:schemeClr val="accent3"/>
              </a:solidFill>
              <a:ln>
                <a:prstDash val="solid"/>
              </a:ln>
            </c:spPr>
            <c:extLst>
              <c:ext xmlns:c16="http://schemas.microsoft.com/office/drawing/2014/chart" uri="{C3380CC4-5D6E-409C-BE32-E72D297353CC}">
                <c16:uniqueId val="{00000011-3FFA-4849-B1AE-9009A8C5759E}"/>
              </c:ext>
            </c:extLst>
          </c:dPt>
          <c:dPt>
            <c:idx val="9"/>
            <c:bubble3D val="0"/>
            <c:spPr>
              <a:solidFill>
                <a:schemeClr val="accent4"/>
              </a:solidFill>
              <a:ln>
                <a:prstDash val="solid"/>
              </a:ln>
            </c:spPr>
            <c:extLst>
              <c:ext xmlns:c16="http://schemas.microsoft.com/office/drawing/2014/chart" uri="{C3380CC4-5D6E-409C-BE32-E72D297353CC}">
                <c16:uniqueId val="{00000013-3FFA-4849-B1AE-9009A8C5759E}"/>
              </c:ext>
            </c:extLst>
          </c:dPt>
          <c:dPt>
            <c:idx val="10"/>
            <c:bubble3D val="0"/>
            <c:spPr>
              <a:solidFill>
                <a:schemeClr val="accent5"/>
              </a:solidFill>
              <a:ln>
                <a:prstDash val="solid"/>
              </a:ln>
            </c:spPr>
            <c:extLst>
              <c:ext xmlns:c16="http://schemas.microsoft.com/office/drawing/2014/chart" uri="{C3380CC4-5D6E-409C-BE32-E72D297353CC}">
                <c16:uniqueId val="{00000015-3FFA-4849-B1AE-9009A8C5759E}"/>
              </c:ext>
            </c:extLst>
          </c:dPt>
          <c:dPt>
            <c:idx val="11"/>
            <c:bubble3D val="0"/>
            <c:spPr>
              <a:solidFill>
                <a:schemeClr val="accent6"/>
              </a:solidFill>
              <a:ln>
                <a:prstDash val="solid"/>
              </a:ln>
            </c:spPr>
            <c:extLst>
              <c:ext xmlns:c16="http://schemas.microsoft.com/office/drawing/2014/chart" uri="{C3380CC4-5D6E-409C-BE32-E72D297353CC}">
                <c16:uniqueId val="{00000017-3FFA-4849-B1AE-9009A8C5759E}"/>
              </c:ext>
            </c:extLst>
          </c:dPt>
          <c:dPt>
            <c:idx val="12"/>
            <c:bubble3D val="0"/>
            <c:spPr>
              <a:solidFill>
                <a:schemeClr val="accent1"/>
              </a:solidFill>
              <a:ln>
                <a:prstDash val="solid"/>
              </a:ln>
            </c:spPr>
            <c:extLst>
              <c:ext xmlns:c16="http://schemas.microsoft.com/office/drawing/2014/chart" uri="{C3380CC4-5D6E-409C-BE32-E72D297353CC}">
                <c16:uniqueId val="{00000019-3FFA-4849-B1AE-9009A8C5759E}"/>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3FFA-4849-B1AE-9009A8C5759E}"/>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3FFA-4849-B1AE-9009A8C5759E}"/>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3FFA-4849-B1AE-9009A8C5759E}"/>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3FFA-4849-B1AE-9009A8C5759E}"/>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3FFA-4849-B1AE-9009A8C5759E}"/>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3FFA-4849-B1AE-9009A8C5759E}"/>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3FFA-4849-B1AE-9009A8C5759E}"/>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3FFA-4849-B1AE-9009A8C5759E}"/>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3FFA-4849-B1AE-9009A8C5759E}"/>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3FFA-4849-B1AE-9009A8C5759E}"/>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3FFA-4849-B1AE-9009A8C5759E}"/>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3FFA-4849-B1AE-9009A8C5759E}"/>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3FFA-4849-B1AE-9009A8C5759E}"/>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ingresos'!$E$17:$E$29</c:f>
              <c:numCache>
                <c:formatCode>_-"$"\ * #,##0.00_-;\-"$"\ * #,##0.00_-;_-"$"\ * "-"??_-;_-@</c:formatCode>
                <c:ptCount val="6"/>
                <c:pt idx="0">
                  <c:v>1775</c:v>
                </c:pt>
                <c:pt idx="1">
                  <c:v>8580</c:v>
                </c:pt>
                <c:pt idx="2">
                  <c:v>6000</c:v>
                </c:pt>
                <c:pt idx="3">
                  <c:v>21585</c:v>
                </c:pt>
                <c:pt idx="4">
                  <c:v>84187</c:v>
                </c:pt>
                <c:pt idx="5">
                  <c:v>37920</c:v>
                </c:pt>
              </c:numCache>
            </c:numRef>
          </c:val>
          <c:extLst>
            <c:ext xmlns:c16="http://schemas.microsoft.com/office/drawing/2014/chart" uri="{C3380CC4-5D6E-409C-BE32-E72D297353CC}">
              <c16:uniqueId val="{0000001A-3FFA-4849-B1AE-9009A8C5759E}"/>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Distribucion ingresos 2027</a:t>
            </a:r>
          </a:p>
        </c:rich>
      </c:tx>
      <c:overlay val="0"/>
    </c:title>
    <c:autoTitleDeleted val="0"/>
    <c:plotArea>
      <c:layout/>
      <c:pieChart>
        <c:varyColors val="1"/>
        <c:ser>
          <c:idx val="0"/>
          <c:order val="0"/>
          <c:tx>
            <c:strRef>
              <c:f>'Mod. ingresos'!$D$16</c:f>
              <c:strCache>
                <c:ptCount val="1"/>
                <c:pt idx="0">
                  <c:v> Ingresos 2027</c:v>
                </c:pt>
              </c:strCache>
            </c:strRef>
          </c:tx>
          <c:spPr>
            <a:ln>
              <a:prstDash val="solid"/>
            </a:ln>
          </c:spPr>
          <c:dPt>
            <c:idx val="0"/>
            <c:bubble3D val="0"/>
            <c:spPr>
              <a:solidFill>
                <a:schemeClr val="accent1"/>
              </a:solidFill>
              <a:ln>
                <a:prstDash val="solid"/>
              </a:ln>
            </c:spPr>
            <c:extLst>
              <c:ext xmlns:c16="http://schemas.microsoft.com/office/drawing/2014/chart" uri="{C3380CC4-5D6E-409C-BE32-E72D297353CC}">
                <c16:uniqueId val="{00000001-4A50-4BA6-9E4D-D67C122EF9FD}"/>
              </c:ext>
            </c:extLst>
          </c:dPt>
          <c:dPt>
            <c:idx val="1"/>
            <c:bubble3D val="0"/>
            <c:spPr>
              <a:solidFill>
                <a:schemeClr val="accent2"/>
              </a:solidFill>
              <a:ln>
                <a:prstDash val="solid"/>
              </a:ln>
            </c:spPr>
            <c:extLst>
              <c:ext xmlns:c16="http://schemas.microsoft.com/office/drawing/2014/chart" uri="{C3380CC4-5D6E-409C-BE32-E72D297353CC}">
                <c16:uniqueId val="{00000003-4A50-4BA6-9E4D-D67C122EF9FD}"/>
              </c:ext>
            </c:extLst>
          </c:dPt>
          <c:dPt>
            <c:idx val="2"/>
            <c:bubble3D val="0"/>
            <c:spPr>
              <a:solidFill>
                <a:schemeClr val="accent3"/>
              </a:solidFill>
              <a:ln>
                <a:prstDash val="solid"/>
              </a:ln>
            </c:spPr>
            <c:extLst>
              <c:ext xmlns:c16="http://schemas.microsoft.com/office/drawing/2014/chart" uri="{C3380CC4-5D6E-409C-BE32-E72D297353CC}">
                <c16:uniqueId val="{00000005-4A50-4BA6-9E4D-D67C122EF9FD}"/>
              </c:ext>
            </c:extLst>
          </c:dPt>
          <c:dPt>
            <c:idx val="3"/>
            <c:bubble3D val="0"/>
            <c:spPr>
              <a:solidFill>
                <a:schemeClr val="accent4"/>
              </a:solidFill>
              <a:ln>
                <a:prstDash val="solid"/>
              </a:ln>
            </c:spPr>
            <c:extLst>
              <c:ext xmlns:c16="http://schemas.microsoft.com/office/drawing/2014/chart" uri="{C3380CC4-5D6E-409C-BE32-E72D297353CC}">
                <c16:uniqueId val="{00000007-4A50-4BA6-9E4D-D67C122EF9FD}"/>
              </c:ext>
            </c:extLst>
          </c:dPt>
          <c:dPt>
            <c:idx val="4"/>
            <c:bubble3D val="0"/>
            <c:spPr>
              <a:solidFill>
                <a:schemeClr val="accent5"/>
              </a:solidFill>
              <a:ln>
                <a:prstDash val="solid"/>
              </a:ln>
            </c:spPr>
            <c:extLst>
              <c:ext xmlns:c16="http://schemas.microsoft.com/office/drawing/2014/chart" uri="{C3380CC4-5D6E-409C-BE32-E72D297353CC}">
                <c16:uniqueId val="{00000009-4A50-4BA6-9E4D-D67C122EF9FD}"/>
              </c:ext>
            </c:extLst>
          </c:dPt>
          <c:dPt>
            <c:idx val="5"/>
            <c:bubble3D val="0"/>
            <c:spPr>
              <a:solidFill>
                <a:schemeClr val="accent6"/>
              </a:solidFill>
              <a:ln>
                <a:prstDash val="solid"/>
              </a:ln>
            </c:spPr>
            <c:extLst>
              <c:ext xmlns:c16="http://schemas.microsoft.com/office/drawing/2014/chart" uri="{C3380CC4-5D6E-409C-BE32-E72D297353CC}">
                <c16:uniqueId val="{0000000B-4A50-4BA6-9E4D-D67C122EF9FD}"/>
              </c:ext>
            </c:extLst>
          </c:dPt>
          <c:dPt>
            <c:idx val="6"/>
            <c:bubble3D val="0"/>
            <c:spPr>
              <a:solidFill>
                <a:schemeClr val="accent1"/>
              </a:solidFill>
              <a:ln>
                <a:prstDash val="solid"/>
              </a:ln>
            </c:spPr>
            <c:extLst>
              <c:ext xmlns:c16="http://schemas.microsoft.com/office/drawing/2014/chart" uri="{C3380CC4-5D6E-409C-BE32-E72D297353CC}">
                <c16:uniqueId val="{0000000D-4A50-4BA6-9E4D-D67C122EF9FD}"/>
              </c:ext>
            </c:extLst>
          </c:dPt>
          <c:dPt>
            <c:idx val="7"/>
            <c:bubble3D val="0"/>
            <c:spPr>
              <a:solidFill>
                <a:schemeClr val="accent2"/>
              </a:solidFill>
              <a:ln>
                <a:prstDash val="solid"/>
              </a:ln>
            </c:spPr>
            <c:extLst>
              <c:ext xmlns:c16="http://schemas.microsoft.com/office/drawing/2014/chart" uri="{C3380CC4-5D6E-409C-BE32-E72D297353CC}">
                <c16:uniqueId val="{0000000F-4A50-4BA6-9E4D-D67C122EF9FD}"/>
              </c:ext>
            </c:extLst>
          </c:dPt>
          <c:dPt>
            <c:idx val="8"/>
            <c:bubble3D val="0"/>
            <c:spPr>
              <a:solidFill>
                <a:schemeClr val="accent3"/>
              </a:solidFill>
              <a:ln>
                <a:prstDash val="solid"/>
              </a:ln>
            </c:spPr>
            <c:extLst>
              <c:ext xmlns:c16="http://schemas.microsoft.com/office/drawing/2014/chart" uri="{C3380CC4-5D6E-409C-BE32-E72D297353CC}">
                <c16:uniqueId val="{00000011-4A50-4BA6-9E4D-D67C122EF9FD}"/>
              </c:ext>
            </c:extLst>
          </c:dPt>
          <c:dPt>
            <c:idx val="9"/>
            <c:bubble3D val="0"/>
            <c:spPr>
              <a:solidFill>
                <a:schemeClr val="accent4"/>
              </a:solidFill>
              <a:ln>
                <a:prstDash val="solid"/>
              </a:ln>
            </c:spPr>
            <c:extLst>
              <c:ext xmlns:c16="http://schemas.microsoft.com/office/drawing/2014/chart" uri="{C3380CC4-5D6E-409C-BE32-E72D297353CC}">
                <c16:uniqueId val="{00000013-4A50-4BA6-9E4D-D67C122EF9FD}"/>
              </c:ext>
            </c:extLst>
          </c:dPt>
          <c:dPt>
            <c:idx val="10"/>
            <c:bubble3D val="0"/>
            <c:spPr>
              <a:solidFill>
                <a:schemeClr val="accent5"/>
              </a:solidFill>
              <a:ln>
                <a:prstDash val="solid"/>
              </a:ln>
            </c:spPr>
            <c:extLst>
              <c:ext xmlns:c16="http://schemas.microsoft.com/office/drawing/2014/chart" uri="{C3380CC4-5D6E-409C-BE32-E72D297353CC}">
                <c16:uniqueId val="{00000015-4A50-4BA6-9E4D-D67C122EF9FD}"/>
              </c:ext>
            </c:extLst>
          </c:dPt>
          <c:dPt>
            <c:idx val="11"/>
            <c:bubble3D val="0"/>
            <c:spPr>
              <a:solidFill>
                <a:schemeClr val="accent6"/>
              </a:solidFill>
              <a:ln>
                <a:prstDash val="solid"/>
              </a:ln>
            </c:spPr>
            <c:extLst>
              <c:ext xmlns:c16="http://schemas.microsoft.com/office/drawing/2014/chart" uri="{C3380CC4-5D6E-409C-BE32-E72D297353CC}">
                <c16:uniqueId val="{00000017-4A50-4BA6-9E4D-D67C122EF9FD}"/>
              </c:ext>
            </c:extLst>
          </c:dPt>
          <c:dPt>
            <c:idx val="12"/>
            <c:bubble3D val="0"/>
            <c:spPr>
              <a:solidFill>
                <a:schemeClr val="accent1"/>
              </a:solidFill>
              <a:ln>
                <a:prstDash val="solid"/>
              </a:ln>
            </c:spPr>
            <c:extLst>
              <c:ext xmlns:c16="http://schemas.microsoft.com/office/drawing/2014/chart" uri="{C3380CC4-5D6E-409C-BE32-E72D297353CC}">
                <c16:uniqueId val="{00000019-4A50-4BA6-9E4D-D67C122EF9FD}"/>
              </c:ext>
            </c:extLst>
          </c:dPt>
          <c:dLbls>
            <c:dLbl>
              <c:idx val="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1-4A50-4BA6-9E4D-D67C122EF9FD}"/>
                </c:ext>
              </c:extLst>
            </c:dLbl>
            <c:dLbl>
              <c:idx val="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3-4A50-4BA6-9E4D-D67C122EF9FD}"/>
                </c:ext>
              </c:extLst>
            </c:dLbl>
            <c:dLbl>
              <c:idx val="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5-4A50-4BA6-9E4D-D67C122EF9FD}"/>
                </c:ext>
              </c:extLst>
            </c:dLbl>
            <c:dLbl>
              <c:idx val="3"/>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7-4A50-4BA6-9E4D-D67C122EF9FD}"/>
                </c:ext>
              </c:extLst>
            </c:dLbl>
            <c:dLbl>
              <c:idx val="4"/>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9-4A50-4BA6-9E4D-D67C122EF9FD}"/>
                </c:ext>
              </c:extLst>
            </c:dLbl>
            <c:dLbl>
              <c:idx val="5"/>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B-4A50-4BA6-9E4D-D67C122EF9FD}"/>
                </c:ext>
              </c:extLst>
            </c:dLbl>
            <c:dLbl>
              <c:idx val="6"/>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D-4A50-4BA6-9E4D-D67C122EF9FD}"/>
                </c:ext>
              </c:extLst>
            </c:dLbl>
            <c:dLbl>
              <c:idx val="7"/>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0F-4A50-4BA6-9E4D-D67C122EF9FD}"/>
                </c:ext>
              </c:extLst>
            </c:dLbl>
            <c:dLbl>
              <c:idx val="8"/>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1-4A50-4BA6-9E4D-D67C122EF9FD}"/>
                </c:ext>
              </c:extLst>
            </c:dLbl>
            <c:dLbl>
              <c:idx val="9"/>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3-4A50-4BA6-9E4D-D67C122EF9FD}"/>
                </c:ext>
              </c:extLst>
            </c:dLbl>
            <c:dLbl>
              <c:idx val="10"/>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5-4A50-4BA6-9E4D-D67C122EF9FD}"/>
                </c:ext>
              </c:extLst>
            </c:dLbl>
            <c:dLbl>
              <c:idx val="11"/>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7-4A50-4BA6-9E4D-D67C122EF9FD}"/>
                </c:ext>
              </c:extLst>
            </c:dLbl>
            <c:dLbl>
              <c:idx val="12"/>
              <c:spPr>
                <a:ln>
                  <a:prstDash val="solid"/>
                </a:ln>
              </c:spPr>
              <c:txPr>
                <a:bodyPr/>
                <a:lstStyle/>
                <a:p>
                  <a:pPr>
                    <a:defRPr/>
                  </a:pPr>
                  <a:endParaRPr lang="es-AR"/>
                </a:p>
              </c:txPr>
              <c:showLegendKey val="0"/>
              <c:showVal val="0"/>
              <c:showCatName val="0"/>
              <c:showSerName val="0"/>
              <c:showPercent val="1"/>
              <c:showBubbleSize val="0"/>
              <c:extLst>
                <c:ext xmlns:c16="http://schemas.microsoft.com/office/drawing/2014/chart" uri="{C3380CC4-5D6E-409C-BE32-E72D297353CC}">
                  <c16:uniqueId val="{00000019-4A50-4BA6-9E4D-D67C122EF9FD}"/>
                </c:ext>
              </c:extLst>
            </c:dLbl>
            <c:spPr>
              <a:noFill/>
              <a:ln>
                <a:noFill/>
                <a:prstDash val="solid"/>
              </a:ln>
            </c:spPr>
            <c:showLegendKey val="0"/>
            <c:showVal val="0"/>
            <c:showCatName val="0"/>
            <c:showSerName val="0"/>
            <c:showPercent val="1"/>
            <c:showBubbleSize val="0"/>
            <c:showLeaderLines val="1"/>
            <c:extLst>
              <c:ext xmlns:c15="http://schemas.microsoft.com/office/drawing/2012/chart" uri="{CE6537A1-D6FC-4f65-9D91-7224C49458BB}"/>
            </c:extLst>
          </c:dLbls>
          <c:cat>
            <c:strRef>
              <c:f>'Mod. ingresos'!$B$17:$B$29</c:f>
              <c:strCache>
                <c:ptCount val="6"/>
                <c:pt idx="0">
                  <c:v> Alta e instalación Plan Básico</c:v>
                </c:pt>
                <c:pt idx="1">
                  <c:v> Alta e instalación Plan Vidriera</c:v>
                </c:pt>
                <c:pt idx="2">
                  <c:v> Alta e instalación Plan Cadena</c:v>
                </c:pt>
                <c:pt idx="3">
                  <c:v> Abono Plan Básico</c:v>
                </c:pt>
                <c:pt idx="4">
                  <c:v> Abono Plan Vidriera</c:v>
                </c:pt>
                <c:pt idx="5">
                  <c:v> Abono Plan Cadena</c:v>
                </c:pt>
              </c:strCache>
            </c:strRef>
          </c:cat>
          <c:val>
            <c:numRef>
              <c:f>'Mod. ingresos'!$D$17:$D$29</c:f>
              <c:numCache>
                <c:formatCode>_-"$"\ * #,##0.00_-;\-"$"\ * #,##0.00_-;_-"$"\ * "-"??_-;_-@</c:formatCode>
                <c:ptCount val="6"/>
                <c:pt idx="0">
                  <c:v>1275</c:v>
                </c:pt>
                <c:pt idx="1">
                  <c:v>6120</c:v>
                </c:pt>
                <c:pt idx="2">
                  <c:v>4250</c:v>
                </c:pt>
                <c:pt idx="3">
                  <c:v>10140</c:v>
                </c:pt>
                <c:pt idx="4">
                  <c:v>40281</c:v>
                </c:pt>
                <c:pt idx="5">
                  <c:v>17064</c:v>
                </c:pt>
              </c:numCache>
            </c:numRef>
          </c:val>
          <c:extLst>
            <c:ext xmlns:c16="http://schemas.microsoft.com/office/drawing/2014/chart" uri="{C3380CC4-5D6E-409C-BE32-E72D297353CC}">
              <c16:uniqueId val="{0000001A-4A50-4BA6-9E4D-D67C122EF9FD}"/>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Modelo de egresos</a:t>
            </a:r>
          </a:p>
        </c:rich>
      </c:tx>
      <c:overlay val="0"/>
    </c:title>
    <c:autoTitleDeleted val="0"/>
    <c:plotArea>
      <c:layout/>
      <c:barChart>
        <c:barDir val="col"/>
        <c:grouping val="clustered"/>
        <c:varyColors val="1"/>
        <c:ser>
          <c:idx val="0"/>
          <c:order val="0"/>
          <c:tx>
            <c:v>Costos Fijos</c:v>
          </c:tx>
          <c:spPr>
            <a:solidFill>
              <a:srgbClr val="ED7D31"/>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egresos'!$B$10:$D$10</c:f>
              <c:numCache>
                <c:formatCode>_ [$$-2C0A]\ * #,##0.00_ ;_ [$$-2C0A]\ * \-#,##0.00_ ;_ [$$-2C0A]\ * "-"??_ ;_ @_ </c:formatCode>
                <c:ptCount val="3"/>
                <c:pt idx="0">
                  <c:v>25440</c:v>
                </c:pt>
                <c:pt idx="1">
                  <c:v>33300</c:v>
                </c:pt>
                <c:pt idx="2">
                  <c:v>37260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0-B5CC-4E70-8A05-EA3C3166975E}"/>
            </c:ext>
          </c:extLst>
        </c:ser>
        <c:ser>
          <c:idx val="1"/>
          <c:order val="1"/>
          <c:tx>
            <c:v>Costos variables</c:v>
          </c:tx>
          <c:spPr>
            <a:solidFill>
              <a:srgbClr val="FFC000"/>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egresos'!$B$11:$D$11</c:f>
              <c:numCache>
                <c:formatCode>_ [$$-2C0A]\ * #,##0.00_ ;_ [$$-2C0A]\ * \-#,##0.00_ ;_ [$$-2C0A]\ * "-"??_ ;_ @_ </c:formatCode>
                <c:ptCount val="3"/>
                <c:pt idx="0">
                  <c:v>5402</c:v>
                </c:pt>
                <c:pt idx="1">
                  <c:v>11065.9</c:v>
                </c:pt>
                <c:pt idx="2">
                  <c:v>17774.300000000003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1-B5CC-4E70-8A05-EA3C3166975E}"/>
            </c:ext>
          </c:extLst>
        </c:ser>
        <c:ser>
          <c:idx val="2"/>
          <c:order val="2"/>
          <c:tx>
            <c:v>Costos de RRHH</c:v>
          </c:tx>
          <c:spPr>
            <a:solidFill>
              <a:srgbClr val="70AD47"/>
            </a:solidFill>
            <a:ln cmpd="sng">
              <a:solidFill>
                <a:srgbClr val="000000"/>
              </a:solidFill>
              <a:prstDash val="solid"/>
            </a:ln>
          </c:spPr>
          <c:invertIfNegative val="1"/>
          <c:cat>
            <c:numRef>
              <c:f>'Mod. egresos'!$B$9:$D$9</c:f>
              <c:numCache>
                <c:formatCode>General</c:formatCode>
                <c:ptCount val="3"/>
                <c:pt idx="0">
                  <c:v>2026</c:v>
                </c:pt>
                <c:pt idx="1">
                  <c:v>2027</c:v>
                </c:pt>
                <c:pt idx="2">
                  <c:v>2028</c:v>
                </c:pt>
              </c:numCache>
            </c:numRef>
          </c:cat>
          <c:val>
            <c:numRef>
              <c:f>'Mod. egresos'!$B$12:$D$12</c:f>
              <c:numCache>
                <c:formatCode>_ [$$-2C0A]\ * #,##0.00_ ;_ [$$-2C0A]\ * \-#,##0.00_ ;_ [$$-2C0A]\ * "-"??_ ;_ @_ </c:formatCode>
                <c:ptCount val="3"/>
                <c:pt idx="0">
                  <c:v>122984.64000000001</c:v>
                </c:pt>
                <c:pt idx="1">
                  <c:v>150323.35999999999</c:v>
                </c:pt>
                <c:pt idx="2">
                  <c:v>183152.53000000003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prstDash val="solid"/>
                  </a:ln>
                </c14:spPr>
              </c14:invertSolidFillFmt>
            </c:ext>
            <c:ext xmlns:c16="http://schemas.microsoft.com/office/drawing/2014/chart" uri="{C3380CC4-5D6E-409C-BE32-E72D297353CC}">
              <c16:uniqueId val="{00000002-B5CC-4E70-8A05-EA3C3166975E}"/>
            </c:ext>
          </c:extLst>
        </c:ser>
        <c:dLbls>
          <c:showLegendKey val="0"/>
          <c:showVal val="0"/>
          <c:showCatName val="0"/>
          <c:showSerName val="0"/>
          <c:showPercent val="0"/>
          <c:showBubbleSize val="0"/>
        </c:dLbls>
        <c:gapWidth val="150"/>
        <c:axId val="1818111440"/>
        <c:axId val="1818111984"/>
      </c:barChart>
      <c:lineChart>
        <c:grouping val="standard"/>
        <c:varyColors val="0"/>
        <c:ser>
          <c:idx val="3"/>
          <c:order val="3"/>
          <c:tx>
            <c:v>Costos totales</c:v>
          </c:tx>
          <c:spPr>
            <a:ln w="28575" cmpd="sng">
              <a:solidFill>
                <a:schemeClr val="accent2"/>
              </a:solidFill>
              <a:prstDash val="solid"/>
            </a:ln>
          </c:spPr>
          <c:marker>
            <c:symbol val="circle"/>
            <c:size val="5"/>
            <c:spPr>
              <a:solidFill>
                <a:schemeClr val="accent2"/>
              </a:solidFill>
              <a:ln cmpd="sng">
                <a:solidFill>
                  <a:schemeClr val="accent2"/>
                </a:solidFill>
                <a:prstDash val="solid"/>
              </a:ln>
            </c:spPr>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153826.64000000001</c:v>
                </c:pt>
                <c:pt idx="1">
                  <c:v>194689.25999999998</c:v>
                </c:pt>
                <c:pt idx="2">
                  <c:v>238186.83000000002</c:v>
                </c:pt>
              </c:numCache>
            </c:numRef>
          </c:val>
          <c:smooth val="0"/>
          <c:extLst>
            <c:ext xmlns:c16="http://schemas.microsoft.com/office/drawing/2014/chart" uri="{C3380CC4-5D6E-409C-BE32-E72D297353CC}">
              <c16:uniqueId val="{00000003-B5CC-4E70-8A05-EA3C3166975E}"/>
            </c:ext>
          </c:extLst>
        </c:ser>
        <c:dLbls>
          <c:showLegendKey val="0"/>
          <c:showVal val="0"/>
          <c:showCatName val="0"/>
          <c:showSerName val="0"/>
          <c:showPercent val="0"/>
          <c:showBubbleSize val="0"/>
        </c:dLbls>
        <c:marker val="1"/>
        <c:smooth val="0"/>
        <c:axId val="1818111440"/>
        <c:axId val="1818111984"/>
      </c:lineChart>
      <c:catAx>
        <c:axId val="1818111440"/>
        <c:scaling>
          <c:orientation val="minMax"/>
        </c:scaling>
        <c:delete val="0"/>
        <c:axPos val="b"/>
        <c:numFmt formatCode="General" sourceLinked="1"/>
        <c:majorTickMark val="none"/>
        <c:minorTickMark val="none"/>
        <c:tickLblPos val="nextTo"/>
        <c:crossAx val="1818111984"/>
        <c:crosses val="autoZero"/>
        <c:auto val="1"/>
        <c:lblAlgn val="ctr"/>
        <c:lblOffset val="100"/>
        <c:noMultiLvlLbl val="1"/>
      </c:catAx>
      <c:valAx>
        <c:axId val="1818111984"/>
        <c:scaling>
          <c:orientation val="minMax"/>
        </c:scaling>
        <c:delete val="0"/>
        <c:axPos val="l"/>
        <c:majorGridlines>
          <c:spPr>
            <a:ln>
              <a:solidFill>
                <a:srgbClr val="B7B7B7"/>
              </a:solidFill>
              <a:prstDash val="solid"/>
            </a:ln>
          </c:spPr>
        </c:majorGridlines>
        <c:numFmt formatCode="_ [$$-2C0A]\ * #,##0.00_ ;_ [$$-2C0A]\ * \-#,##0.00_ ;_ [$$-2C0A]\ * &quot;-&quot;??_ ;_ @_ " sourceLinked="1"/>
        <c:majorTickMark val="none"/>
        <c:minorTickMark val="none"/>
        <c:tickLblPos val="nextTo"/>
        <c:spPr>
          <a:ln>
            <a:prstDash val="solid"/>
          </a:ln>
        </c:spPr>
        <c:crossAx val="1818111440"/>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600"/>
            </a:pPr>
            <a:r>
              <a:rPr lang="es-AR" sz="1600"/>
              <a:t>Ingresos vs Egresos</a:t>
            </a:r>
          </a:p>
        </c:rich>
      </c:tx>
      <c:overlay val="0"/>
    </c:title>
    <c:autoTitleDeleted val="0"/>
    <c:plotArea>
      <c:layout/>
      <c:lineChart>
        <c:grouping val="standard"/>
        <c:varyColors val="1"/>
        <c:ser>
          <c:idx val="0"/>
          <c:order val="0"/>
          <c:tx>
            <c:v>Costos totales</c:v>
          </c:tx>
          <c:spPr>
            <a:ln w="38100" cmpd="sng">
              <a:solidFill>
                <a:schemeClr val="accent1"/>
              </a:solidFill>
              <a:prstDash val="solid"/>
            </a:ln>
          </c:spPr>
          <c:marker>
            <c:symbol val="none"/>
          </c:marker>
          <c:cat>
            <c:numRef>
              <c:f>'Mod. egresos'!$B$9:$D$9</c:f>
              <c:numCache>
                <c:formatCode>General</c:formatCode>
                <c:ptCount val="3"/>
                <c:pt idx="0">
                  <c:v>2026</c:v>
                </c:pt>
                <c:pt idx="1">
                  <c:v>2027</c:v>
                </c:pt>
                <c:pt idx="2">
                  <c:v>2028</c:v>
                </c:pt>
              </c:numCache>
            </c:numRef>
          </c:cat>
          <c:val>
            <c:numRef>
              <c:f>'Mod. egresos'!$B$13:$D$13</c:f>
              <c:numCache>
                <c:formatCode>_ [$$-2C0A]\ * #,##0.00_ ;_ [$$-2C0A]\ * \-#,##0.00_ ;_ [$$-2C0A]\ * "-"??_ ;_ @_ </c:formatCode>
                <c:ptCount val="3"/>
                <c:pt idx="0">
                  <c:v>153826.64000000001</c:v>
                </c:pt>
                <c:pt idx="1">
                  <c:v>194689.25999999998</c:v>
                </c:pt>
                <c:pt idx="2">
                  <c:v>238186.83000000002</c:v>
                </c:pt>
              </c:numCache>
            </c:numRef>
          </c:val>
          <c:smooth val="0"/>
          <c:extLst>
            <c:ext xmlns:c16="http://schemas.microsoft.com/office/drawing/2014/chart" uri="{C3380CC4-5D6E-409C-BE32-E72D297353CC}">
              <c16:uniqueId val="{00000000-3BE8-4A21-B784-916A4E1AC3C3}"/>
            </c:ext>
          </c:extLst>
        </c:ser>
        <c:ser>
          <c:idx val="1"/>
          <c:order val="1"/>
          <c:tx>
            <c:v>Objetivo ingresos</c:v>
          </c:tx>
          <c:spPr>
            <a:ln w="38100" cmpd="sng">
              <a:solidFill>
                <a:schemeClr val="accent2"/>
              </a:solidFill>
              <a:prstDash val="solid"/>
            </a:ln>
          </c:spPr>
          <c:marker>
            <c:symbol val="none"/>
          </c:marker>
          <c:cat>
            <c:numRef>
              <c:f>'Mod. egresos'!$B$9:$D$9</c:f>
              <c:numCache>
                <c:formatCode>General</c:formatCode>
                <c:ptCount val="3"/>
                <c:pt idx="0">
                  <c:v>2026</c:v>
                </c:pt>
                <c:pt idx="1">
                  <c:v>2027</c:v>
                </c:pt>
                <c:pt idx="2">
                  <c:v>2028</c:v>
                </c:pt>
              </c:numCache>
            </c:numRef>
          </c:cat>
          <c:val>
            <c:numRef>
              <c:f>'Mod. egresos'!$B$14:$D$14</c:f>
              <c:numCache>
                <c:formatCode>_ [$$-2C0A]\ * #,##0.00_ ;_ [$$-2C0A]\ * \-#,##0.00_ ;_ [$$-2C0A]\ * "-"??_ ;_ @_ </c:formatCode>
                <c:ptCount val="3"/>
                <c:pt idx="0">
                  <c:v>20863</c:v>
                </c:pt>
                <c:pt idx="1">
                  <c:v>79130</c:v>
                </c:pt>
                <c:pt idx="2">
                  <c:v>160047</c:v>
                </c:pt>
              </c:numCache>
            </c:numRef>
          </c:val>
          <c:smooth val="0"/>
          <c:extLst>
            <c:ext xmlns:c16="http://schemas.microsoft.com/office/drawing/2014/chart" uri="{C3380CC4-5D6E-409C-BE32-E72D297353CC}">
              <c16:uniqueId val="{00000001-3BE8-4A21-B784-916A4E1AC3C3}"/>
            </c:ext>
          </c:extLst>
        </c:ser>
        <c:dLbls>
          <c:showLegendKey val="0"/>
          <c:showVal val="0"/>
          <c:showCatName val="0"/>
          <c:showSerName val="0"/>
          <c:showPercent val="0"/>
          <c:showBubbleSize val="0"/>
        </c:dLbls>
        <c:smooth val="0"/>
        <c:axId val="1818113072"/>
        <c:axId val="1820185744"/>
      </c:lineChart>
      <c:catAx>
        <c:axId val="1818113072"/>
        <c:scaling>
          <c:orientation val="minMax"/>
        </c:scaling>
        <c:delete val="0"/>
        <c:axPos val="b"/>
        <c:numFmt formatCode="General" sourceLinked="1"/>
        <c:majorTickMark val="none"/>
        <c:minorTickMark val="none"/>
        <c:tickLblPos val="nextTo"/>
        <c:crossAx val="1820185744"/>
        <c:crosses val="autoZero"/>
        <c:auto val="1"/>
        <c:lblAlgn val="ctr"/>
        <c:lblOffset val="100"/>
        <c:noMultiLvlLbl val="1"/>
      </c:catAx>
      <c:valAx>
        <c:axId val="1820185744"/>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numFmt formatCode="_ [$$-2C0A]\ * #,##0.00_ ;_ [$$-2C0A]\ * \-#,##0.00_ ;_ [$$-2C0A]\ * &quot;-&quot;??_ ;_ @_ " sourceLinked="1"/>
        <c:majorTickMark val="none"/>
        <c:minorTickMark val="none"/>
        <c:tickLblPos val="nextTo"/>
        <c:spPr>
          <a:ln>
            <a:prstDash val="solid"/>
          </a:ln>
        </c:spPr>
        <c:crossAx val="1818113072"/>
        <c:crosses val="autoZero"/>
        <c:crossBetween val="between"/>
      </c:valAx>
    </c:plotArea>
    <c:legend>
      <c:legendPos val="t"/>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Indice!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hyperlink" Target="#'Proy.%20ventas'!A1"/></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hyperlink" Target="#Indice!A1"/></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chart" Target="../charts/chart12.xml"/><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image" Target="../media/image3.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oneCellAnchor>
    <xdr:from>
      <xdr:col>0</xdr:col>
      <xdr:colOff>628650</xdr:colOff>
      <xdr:row>2</xdr:row>
      <xdr:rowOff>9525</xdr:rowOff>
    </xdr:from>
    <xdr:ext cx="5619750" cy="904875"/>
    <xdr:pic>
      <xdr:nvPicPr>
        <xdr:cNvPr id="2" name="image1.png" descr="Resultado de imagen para uai">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341219</xdr:colOff>
      <xdr:row>16</xdr:row>
      <xdr:rowOff>74518</xdr:rowOff>
    </xdr:from>
    <xdr:ext cx="5969000" cy="381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685800</xdr:colOff>
      <xdr:row>0</xdr:row>
      <xdr:rowOff>219075</xdr:rowOff>
    </xdr:from>
    <xdr:ext cx="1600200" cy="304800"/>
    <xdr:sp macro="" textlink="">
      <xdr:nvSpPr>
        <xdr:cNvPr id="3" name="Shape 3">
          <a:hlinkClick xmlns:r="http://schemas.openxmlformats.org/officeDocument/2006/relationships" r:id="rId2"/>
          <a:extLst>
            <a:ext uri="{FF2B5EF4-FFF2-40B4-BE49-F238E27FC236}">
              <a16:creationId xmlns:a16="http://schemas.microsoft.com/office/drawing/2014/main" id="{66059B80-D946-47DF-8607-29F8B2012FA9}"/>
            </a:ext>
          </a:extLst>
        </xdr:cNvPr>
        <xdr:cNvSpPr/>
      </xdr:nvSpPr>
      <xdr:spPr>
        <a:xfrm>
          <a:off x="685800" y="219075"/>
          <a:ext cx="16002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30</xdr:col>
      <xdr:colOff>438150</xdr:colOff>
      <xdr:row>17</xdr:row>
      <xdr:rowOff>0</xdr:rowOff>
    </xdr:from>
    <xdr:ext cx="9239250" cy="59055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29</xdr:col>
      <xdr:colOff>495300</xdr:colOff>
      <xdr:row>83</xdr:row>
      <xdr:rowOff>171450</xdr:rowOff>
    </xdr:from>
    <xdr:ext cx="10210800" cy="5686425"/>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29</xdr:col>
      <xdr:colOff>361950</xdr:colOff>
      <xdr:row>142</xdr:row>
      <xdr:rowOff>38100</xdr:rowOff>
    </xdr:from>
    <xdr:ext cx="10106025" cy="5724525"/>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30</xdr:col>
      <xdr:colOff>323850</xdr:colOff>
      <xdr:row>42</xdr:row>
      <xdr:rowOff>114300</xdr:rowOff>
    </xdr:from>
    <xdr:ext cx="10144125" cy="60579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29</xdr:col>
      <xdr:colOff>514350</xdr:colOff>
      <xdr:row>110</xdr:row>
      <xdr:rowOff>47625</xdr:rowOff>
    </xdr:from>
    <xdr:ext cx="9953625" cy="45339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29</xdr:col>
      <xdr:colOff>342900</xdr:colOff>
      <xdr:row>170</xdr:row>
      <xdr:rowOff>85725</xdr:rowOff>
    </xdr:from>
    <xdr:ext cx="10477500" cy="5705475"/>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552450</xdr:colOff>
      <xdr:row>0</xdr:row>
      <xdr:rowOff>152400</xdr:rowOff>
    </xdr:from>
    <xdr:ext cx="1647825" cy="361950"/>
    <xdr:sp macro="" textlink="">
      <xdr:nvSpPr>
        <xdr:cNvPr id="8" name="Shape 4">
          <a:hlinkClick xmlns:r="http://schemas.openxmlformats.org/officeDocument/2006/relationships" r:id="rId7"/>
          <a:extLst>
            <a:ext uri="{FF2B5EF4-FFF2-40B4-BE49-F238E27FC236}">
              <a16:creationId xmlns:a16="http://schemas.microsoft.com/office/drawing/2014/main" id="{AC5D9CD9-F1EF-4967-9F58-BB7659957F23}"/>
            </a:ext>
          </a:extLst>
        </xdr:cNvPr>
        <xdr:cNvSpPr/>
      </xdr:nvSpPr>
      <xdr:spPr>
        <a:xfrm>
          <a:off x="552450" y="152400"/>
          <a:ext cx="1647825" cy="36195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76200</xdr:colOff>
      <xdr:row>0</xdr:row>
      <xdr:rowOff>188595</xdr:rowOff>
    </xdr:from>
    <xdr:ext cx="1504950" cy="304800"/>
    <xdr:sp macro="" textlink="">
      <xdr:nvSpPr>
        <xdr:cNvPr id="2" name="Shape 5">
          <a:hlinkClick xmlns:r="http://schemas.openxmlformats.org/officeDocument/2006/relationships" r:id="rId1"/>
          <a:extLst>
            <a:ext uri="{FF2B5EF4-FFF2-40B4-BE49-F238E27FC236}">
              <a16:creationId xmlns:a16="http://schemas.microsoft.com/office/drawing/2014/main" id="{162F052D-898A-462E-B370-F80CB08E641C}"/>
            </a:ext>
          </a:extLst>
        </xdr:cNvPr>
        <xdr:cNvSpPr/>
      </xdr:nvSpPr>
      <xdr:spPr>
        <a:xfrm>
          <a:off x="1958340" y="188595"/>
          <a:ext cx="15049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 Proy. ventas</a:t>
          </a:r>
          <a:endParaRPr sz="1400"/>
        </a:p>
      </xdr:txBody>
    </xdr:sp>
    <xdr:clientData fLocksWithSheet="0"/>
  </xdr:oneCellAnchor>
  <xdr:oneCellAnchor>
    <xdr:from>
      <xdr:col>0</xdr:col>
      <xdr:colOff>95250</xdr:colOff>
      <xdr:row>0</xdr:row>
      <xdr:rowOff>188595</xdr:rowOff>
    </xdr:from>
    <xdr:ext cx="1133475" cy="304800"/>
    <xdr:sp macro="" textlink="">
      <xdr:nvSpPr>
        <xdr:cNvPr id="3" name="Shape 6">
          <a:hlinkClick xmlns:r="http://schemas.openxmlformats.org/officeDocument/2006/relationships" r:id="rId2"/>
          <a:extLst>
            <a:ext uri="{FF2B5EF4-FFF2-40B4-BE49-F238E27FC236}">
              <a16:creationId xmlns:a16="http://schemas.microsoft.com/office/drawing/2014/main" id="{D5FBF434-6865-4774-BFD0-1CFCA5C1324C}"/>
            </a:ext>
          </a:extLst>
        </xdr:cNvPr>
        <xdr:cNvSpPr/>
      </xdr:nvSpPr>
      <xdr:spPr>
        <a:xfrm>
          <a:off x="95250" y="188595"/>
          <a:ext cx="11334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295275</xdr:colOff>
      <xdr:row>2</xdr:row>
      <xdr:rowOff>180975</xdr:rowOff>
    </xdr:from>
    <xdr:ext cx="5969000" cy="4064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285750</xdr:colOff>
      <xdr:row>41</xdr:row>
      <xdr:rowOff>9525</xdr:rowOff>
    </xdr:from>
    <xdr:ext cx="5969000" cy="4064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95250</xdr:colOff>
      <xdr:row>41</xdr:row>
      <xdr:rowOff>9525</xdr:rowOff>
    </xdr:from>
    <xdr:ext cx="5969000" cy="4064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733425</xdr:colOff>
      <xdr:row>0</xdr:row>
      <xdr:rowOff>188595</xdr:rowOff>
    </xdr:from>
    <xdr:ext cx="2409825" cy="304800"/>
    <xdr:sp macro="" textlink="">
      <xdr:nvSpPr>
        <xdr:cNvPr id="5" name="Shape 7">
          <a:hlinkClick xmlns:r="http://schemas.openxmlformats.org/officeDocument/2006/relationships" r:id="rId4"/>
          <a:extLst>
            <a:ext uri="{FF2B5EF4-FFF2-40B4-BE49-F238E27FC236}">
              <a16:creationId xmlns:a16="http://schemas.microsoft.com/office/drawing/2014/main" id="{BDFE8989-F658-4524-8061-C19691287BC6}"/>
            </a:ext>
          </a:extLst>
        </xdr:cNvPr>
        <xdr:cNvSpPr/>
      </xdr:nvSpPr>
      <xdr:spPr>
        <a:xfrm>
          <a:off x="733425" y="188595"/>
          <a:ext cx="24098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733425</xdr:colOff>
      <xdr:row>0</xdr:row>
      <xdr:rowOff>188595</xdr:rowOff>
    </xdr:from>
    <xdr:ext cx="1457325" cy="304800"/>
    <xdr:sp macro="" textlink="">
      <xdr:nvSpPr>
        <xdr:cNvPr id="2" name="Shape 8">
          <a:hlinkClick xmlns:r="http://schemas.openxmlformats.org/officeDocument/2006/relationships" r:id="rId1"/>
          <a:extLst>
            <a:ext uri="{FF2B5EF4-FFF2-40B4-BE49-F238E27FC236}">
              <a16:creationId xmlns:a16="http://schemas.microsoft.com/office/drawing/2014/main" id="{4F7696C8-F2BA-4F37-90CB-6EBBFD83E776}"/>
            </a:ext>
          </a:extLst>
        </xdr:cNvPr>
        <xdr:cNvSpPr/>
      </xdr:nvSpPr>
      <xdr:spPr>
        <a:xfrm>
          <a:off x="733425" y="188595"/>
          <a:ext cx="145732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733425</xdr:colOff>
      <xdr:row>0</xdr:row>
      <xdr:rowOff>188595</xdr:rowOff>
    </xdr:from>
    <xdr:ext cx="3752850" cy="304800"/>
    <xdr:sp macro="" textlink="">
      <xdr:nvSpPr>
        <xdr:cNvPr id="2" name="Shape 9">
          <a:hlinkClick xmlns:r="http://schemas.openxmlformats.org/officeDocument/2006/relationships" r:id="rId1"/>
          <a:extLst>
            <a:ext uri="{FF2B5EF4-FFF2-40B4-BE49-F238E27FC236}">
              <a16:creationId xmlns:a16="http://schemas.microsoft.com/office/drawing/2014/main" id="{7D53960E-0992-4F57-8406-A53326995A42}"/>
            </a:ext>
          </a:extLst>
        </xdr:cNvPr>
        <xdr:cNvSpPr/>
      </xdr:nvSpPr>
      <xdr:spPr>
        <a:xfrm>
          <a:off x="733425" y="188595"/>
          <a:ext cx="37528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514600" cy="304800"/>
    <xdr:sp macro="" textlink="">
      <xdr:nvSpPr>
        <xdr:cNvPr id="2" name="Shape 10">
          <a:hlinkClick xmlns:r="http://schemas.openxmlformats.org/officeDocument/2006/relationships" r:id="rId1"/>
          <a:extLst>
            <a:ext uri="{FF2B5EF4-FFF2-40B4-BE49-F238E27FC236}">
              <a16:creationId xmlns:a16="http://schemas.microsoft.com/office/drawing/2014/main" id="{4976E140-C77B-4E7E-823B-D89E75BFDD55}"/>
            </a:ext>
          </a:extLst>
        </xdr:cNvPr>
        <xdr:cNvSpPr/>
      </xdr:nvSpPr>
      <xdr:spPr>
        <a:xfrm>
          <a:off x="0" y="0"/>
          <a:ext cx="251460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254000</xdr:colOff>
      <xdr:row>44</xdr:row>
      <xdr:rowOff>98425</xdr:rowOff>
    </xdr:from>
    <xdr:ext cx="5969000" cy="4064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457200</xdr:colOff>
      <xdr:row>44</xdr:row>
      <xdr:rowOff>98425</xdr:rowOff>
    </xdr:from>
    <xdr:ext cx="5969000" cy="4064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499110</xdr:colOff>
      <xdr:row>0</xdr:row>
      <xdr:rowOff>390525</xdr:rowOff>
    </xdr:from>
    <xdr:ext cx="1181100" cy="190500"/>
    <xdr:sp macro="" textlink="">
      <xdr:nvSpPr>
        <xdr:cNvPr id="4" name="Shape 11">
          <a:hlinkClick xmlns:r="http://schemas.openxmlformats.org/officeDocument/2006/relationships" r:id="rId3"/>
          <a:extLst>
            <a:ext uri="{FF2B5EF4-FFF2-40B4-BE49-F238E27FC236}">
              <a16:creationId xmlns:a16="http://schemas.microsoft.com/office/drawing/2014/main" id="{9B289220-0C1B-4159-804C-DEDFB858237D}"/>
            </a:ext>
          </a:extLst>
        </xdr:cNvPr>
        <xdr:cNvSpPr/>
      </xdr:nvSpPr>
      <xdr:spPr>
        <a:xfrm>
          <a:off x="4766310" y="390525"/>
          <a:ext cx="1181100" cy="1905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5</xdr:col>
      <xdr:colOff>1666875</xdr:colOff>
      <xdr:row>29</xdr:row>
      <xdr:rowOff>66675</xdr:rowOff>
    </xdr:from>
    <xdr:ext cx="5715000" cy="3533775"/>
    <xdr:pic>
      <xdr:nvPicPr>
        <xdr:cNvPr id="450435382" name="Chart13" title="Chart">
          <a:extLst>
            <a:ext uri="{FF2B5EF4-FFF2-40B4-BE49-F238E27FC236}">
              <a16:creationId xmlns:a16="http://schemas.microsoft.com/office/drawing/2014/main" id="{00000000-0008-0000-0A00-00003619D91A}"/>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6</xdr:col>
      <xdr:colOff>2257425</xdr:colOff>
      <xdr:row>7</xdr:row>
      <xdr:rowOff>190500</xdr:rowOff>
    </xdr:from>
    <xdr:ext cx="10153650" cy="8029575"/>
    <xdr:pic>
      <xdr:nvPicPr>
        <xdr:cNvPr id="2" name="image2.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180975</xdr:colOff>
      <xdr:row>0</xdr:row>
      <xdr:rowOff>190500</xdr:rowOff>
    </xdr:from>
    <xdr:ext cx="3638550" cy="304800"/>
    <xdr:sp macro="" textlink="">
      <xdr:nvSpPr>
        <xdr:cNvPr id="3" name="Shape 12">
          <a:hlinkClick xmlns:r="http://schemas.openxmlformats.org/officeDocument/2006/relationships" r:id="rId3"/>
          <a:extLst>
            <a:ext uri="{FF2B5EF4-FFF2-40B4-BE49-F238E27FC236}">
              <a16:creationId xmlns:a16="http://schemas.microsoft.com/office/drawing/2014/main" id="{3A371924-91B4-470B-932A-3D7D6B2D0A62}"/>
            </a:ext>
          </a:extLst>
        </xdr:cNvPr>
        <xdr:cNvSpPr/>
      </xdr:nvSpPr>
      <xdr:spPr>
        <a:xfrm>
          <a:off x="942975" y="190500"/>
          <a:ext cx="3638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733425</xdr:colOff>
      <xdr:row>0</xdr:row>
      <xdr:rowOff>0</xdr:rowOff>
    </xdr:from>
    <xdr:ext cx="1733550" cy="304800"/>
    <xdr:sp macro="" textlink="">
      <xdr:nvSpPr>
        <xdr:cNvPr id="2" name="Shape 13">
          <a:hlinkClick xmlns:r="http://schemas.openxmlformats.org/officeDocument/2006/relationships" r:id="rId1"/>
          <a:extLst>
            <a:ext uri="{FF2B5EF4-FFF2-40B4-BE49-F238E27FC236}">
              <a16:creationId xmlns:a16="http://schemas.microsoft.com/office/drawing/2014/main" id="{D7E2B6A7-DFE5-4D73-9B29-068A037FE6D3}"/>
            </a:ext>
          </a:extLst>
        </xdr:cNvPr>
        <xdr:cNvSpPr/>
      </xdr:nvSpPr>
      <xdr:spPr>
        <a:xfrm>
          <a:off x="733425" y="0"/>
          <a:ext cx="1733550"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219075</xdr:rowOff>
    </xdr:from>
    <xdr:ext cx="828675" cy="304800"/>
    <xdr:sp macro="" textlink="">
      <xdr:nvSpPr>
        <xdr:cNvPr id="2" name="Shape 14">
          <a:hlinkClick xmlns:r="http://schemas.openxmlformats.org/officeDocument/2006/relationships" r:id="rId1"/>
          <a:extLst>
            <a:ext uri="{FF2B5EF4-FFF2-40B4-BE49-F238E27FC236}">
              <a16:creationId xmlns:a16="http://schemas.microsoft.com/office/drawing/2014/main" id="{CABCD5C0-BA28-40C9-9485-BC884308416B}"/>
            </a:ext>
          </a:extLst>
        </xdr:cNvPr>
        <xdr:cNvSpPr/>
      </xdr:nvSpPr>
      <xdr:spPr>
        <a:xfrm>
          <a:off x="0" y="219075"/>
          <a:ext cx="828675" cy="304800"/>
        </a:xfrm>
        <a:prstGeom prst="roundRect">
          <a:avLst>
            <a:gd name="adj" fmla="val 16667"/>
          </a:avLst>
        </a:prstGeom>
        <a:solidFill>
          <a:schemeClr val="lt1"/>
        </a:solidFill>
        <a:ln w="12700"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Volver al índice</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7" workbookViewId="0">
      <selection activeCell="C27" sqref="C27"/>
    </sheetView>
  </sheetViews>
  <sheetFormatPr defaultColWidth="12.59765625" defaultRowHeight="15" customHeight="1"/>
  <cols>
    <col min="1" max="1" width="10" customWidth="1"/>
    <col min="2" max="2" width="11" customWidth="1"/>
    <col min="3" max="23" width="10"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
      <c r="D5" s="1"/>
      <c r="E5" s="1"/>
      <c r="F5" s="1"/>
      <c r="G5" s="1"/>
      <c r="H5" s="1"/>
      <c r="I5" s="1"/>
      <c r="J5" s="1"/>
      <c r="K5" s="1"/>
      <c r="L5" s="1"/>
      <c r="M5" s="1"/>
      <c r="N5" s="1"/>
      <c r="O5" s="1"/>
      <c r="P5" s="1"/>
      <c r="Q5" s="1"/>
      <c r="R5" s="1"/>
      <c r="S5" s="1"/>
      <c r="T5" s="1"/>
      <c r="U5" s="1"/>
      <c r="V5" s="1"/>
      <c r="W5" s="1"/>
      <c r="X5" s="1"/>
      <c r="Y5" s="1"/>
      <c r="Z5" s="1"/>
    </row>
    <row r="6" spans="1:26" ht="14.25" customHeight="1">
      <c r="A6" s="1"/>
      <c r="B6" s="1"/>
      <c r="C6" s="1"/>
      <c r="D6" s="1"/>
      <c r="E6" s="1"/>
      <c r="F6" s="1"/>
      <c r="G6" s="1"/>
      <c r="H6" s="1"/>
      <c r="I6" s="1"/>
      <c r="J6" s="1"/>
      <c r="K6" s="1"/>
      <c r="L6" s="1"/>
      <c r="M6" s="1"/>
      <c r="N6" s="1"/>
      <c r="O6" s="1"/>
      <c r="P6" s="1"/>
      <c r="Q6" s="1"/>
      <c r="R6" s="1"/>
      <c r="S6" s="1"/>
      <c r="T6" s="1"/>
      <c r="U6" s="1"/>
      <c r="V6" s="1"/>
      <c r="W6" s="1"/>
      <c r="X6" s="1"/>
      <c r="Y6" s="1"/>
      <c r="Z6" s="1"/>
    </row>
    <row r="7" spans="1:26" ht="14.25" customHeight="1">
      <c r="A7" s="1"/>
      <c r="B7" s="1"/>
      <c r="C7" s="1"/>
      <c r="D7" s="1"/>
      <c r="E7" s="1"/>
      <c r="F7" s="1"/>
      <c r="G7" s="1"/>
      <c r="H7" s="1"/>
      <c r="I7" s="1"/>
      <c r="J7" s="1"/>
      <c r="K7" s="1"/>
      <c r="L7" s="1"/>
      <c r="M7" s="1"/>
      <c r="N7" s="1"/>
      <c r="O7" s="1"/>
      <c r="P7" s="1"/>
      <c r="Q7" s="1"/>
      <c r="R7" s="1"/>
      <c r="S7" s="1"/>
      <c r="T7" s="1"/>
      <c r="U7" s="1"/>
      <c r="V7" s="1"/>
      <c r="W7" s="1"/>
      <c r="X7" s="1"/>
      <c r="Y7" s="1"/>
      <c r="Z7" s="1"/>
    </row>
    <row r="8" spans="1:26" ht="14.25" customHeight="1">
      <c r="A8" s="1"/>
      <c r="B8" s="1"/>
      <c r="C8" s="1"/>
      <c r="D8" s="1"/>
      <c r="E8" s="1"/>
      <c r="F8" s="1"/>
      <c r="G8" s="1"/>
      <c r="H8" s="1"/>
      <c r="I8" s="1"/>
      <c r="J8" s="1"/>
      <c r="K8" s="1"/>
      <c r="L8" s="1"/>
      <c r="M8" s="1"/>
      <c r="N8" s="1"/>
      <c r="O8" s="1"/>
      <c r="P8" s="1"/>
      <c r="Q8" s="1"/>
      <c r="R8" s="1"/>
      <c r="S8" s="1"/>
      <c r="T8" s="1"/>
      <c r="U8" s="1"/>
      <c r="V8" s="1"/>
      <c r="W8" s="1"/>
      <c r="X8" s="1"/>
      <c r="Y8" s="1"/>
      <c r="Z8" s="1"/>
    </row>
    <row r="9" spans="1:26" ht="28.95" customHeight="1">
      <c r="A9" s="1"/>
      <c r="B9" s="1"/>
      <c r="C9" s="2" t="s">
        <v>0</v>
      </c>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3" t="s">
        <v>1</v>
      </c>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3" t="s">
        <v>2</v>
      </c>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3" t="s">
        <v>3</v>
      </c>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3" t="s">
        <v>4</v>
      </c>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3" t="s">
        <v>5</v>
      </c>
      <c r="D25" s="1"/>
      <c r="E25" s="1"/>
      <c r="F25" s="1"/>
      <c r="G25" s="1"/>
      <c r="H25" s="1"/>
      <c r="I25" s="1"/>
      <c r="J25" s="1"/>
      <c r="K25" s="1"/>
      <c r="L25" s="1"/>
      <c r="M25" s="1"/>
      <c r="N25" s="1"/>
      <c r="O25" s="1"/>
      <c r="P25" s="1"/>
      <c r="Q25" s="1"/>
      <c r="R25" s="1"/>
      <c r="S25" s="1"/>
      <c r="T25" s="1"/>
      <c r="U25" s="1"/>
      <c r="V25" s="1"/>
      <c r="W25" s="1"/>
      <c r="X25" s="1"/>
      <c r="Y25" s="1"/>
      <c r="Z25" s="1"/>
    </row>
    <row r="26" spans="1:26" ht="17.399999999999999" customHeight="1">
      <c r="A26" s="1"/>
      <c r="B26" s="1"/>
      <c r="C26" s="3" t="s">
        <v>453</v>
      </c>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D19"/>
  <sheetViews>
    <sheetView workbookViewId="0"/>
  </sheetViews>
  <sheetFormatPr defaultColWidth="12.59765625" defaultRowHeight="15" customHeight="1"/>
  <cols>
    <col min="1" max="1" width="10" customWidth="1"/>
    <col min="2" max="2" width="11.3984375" customWidth="1"/>
    <col min="3" max="3" width="10" customWidth="1"/>
    <col min="4" max="4" width="31.09765625" customWidth="1"/>
    <col min="5" max="6" width="10" customWidth="1"/>
  </cols>
  <sheetData>
    <row r="1" spans="4:4" ht="13.8" customHeight="1"/>
    <row r="2" spans="4:4" ht="15" customHeight="1">
      <c r="D2" s="4" t="s">
        <v>6</v>
      </c>
    </row>
    <row r="3" spans="4:4" ht="13.8" customHeight="1"/>
    <row r="4" spans="4:4" ht="18" customHeight="1">
      <c r="D4" s="5" t="s">
        <v>7</v>
      </c>
    </row>
    <row r="5" spans="4:4" ht="18" customHeight="1">
      <c r="D5" s="6" t="s">
        <v>8</v>
      </c>
    </row>
    <row r="6" spans="4:4" ht="18" customHeight="1">
      <c r="D6" s="6" t="s">
        <v>9</v>
      </c>
    </row>
    <row r="7" spans="4:4" ht="18" customHeight="1">
      <c r="D7" s="6" t="s">
        <v>10</v>
      </c>
    </row>
    <row r="8" spans="4:4" ht="18" customHeight="1">
      <c r="D8" s="6" t="s">
        <v>11</v>
      </c>
    </row>
    <row r="9" spans="4:4" ht="18" customHeight="1">
      <c r="D9" s="6" t="s">
        <v>12</v>
      </c>
    </row>
    <row r="10" spans="4:4" ht="18" customHeight="1">
      <c r="D10" s="6" t="s">
        <v>13</v>
      </c>
    </row>
    <row r="11" spans="4:4" ht="18" customHeight="1">
      <c r="D11" s="6" t="s">
        <v>14</v>
      </c>
    </row>
    <row r="12" spans="4:4" ht="18" customHeight="1">
      <c r="D12" s="6" t="s">
        <v>15</v>
      </c>
    </row>
    <row r="13" spans="4:4" ht="18" customHeight="1">
      <c r="D13" s="6" t="s">
        <v>16</v>
      </c>
    </row>
    <row r="14" spans="4:4" ht="18" customHeight="1">
      <c r="D14" s="6" t="s">
        <v>17</v>
      </c>
    </row>
    <row r="15" spans="4:4" ht="18" customHeight="1">
      <c r="D15" s="6" t="s">
        <v>18</v>
      </c>
    </row>
    <row r="16" spans="4:4" ht="18" customHeight="1">
      <c r="D16" s="6" t="s">
        <v>19</v>
      </c>
    </row>
    <row r="17" spans="4:4" ht="18" customHeight="1">
      <c r="D17" s="6" t="s">
        <v>20</v>
      </c>
    </row>
    <row r="18" spans="4:4" ht="18" customHeight="1">
      <c r="D18" s="7" t="s">
        <v>21</v>
      </c>
    </row>
    <row r="19" spans="4:4" ht="18" customHeight="1">
      <c r="D19" s="7" t="s">
        <v>22</v>
      </c>
    </row>
  </sheetData>
  <hyperlinks>
    <hyperlink ref="D4" location="'Hipótesis'!A1" display="Hipótesis" xr:uid="{00000000-0004-0000-0100-000000000000}"/>
    <hyperlink ref="D5" location="null!A1" display="Proyección de ventas" xr:uid="{00000000-0004-0000-0100-000001000000}"/>
    <hyperlink ref="D6" location="null!A1" display="Modelo de ingresos" xr:uid="{00000000-0004-0000-0100-000002000000}"/>
    <hyperlink ref="D7" location="null!A1" display="Estructura de costos fijos" xr:uid="{00000000-0004-0000-0100-000003000000}"/>
    <hyperlink ref="D8" location="null!A1" display="Estructura de costos variables" xr:uid="{00000000-0004-0000-0100-000004000000}"/>
    <hyperlink ref="D9" location="'Costos RRHH'!A1" display="Estructura de costos de RRHH" xr:uid="{00000000-0004-0000-0100-000005000000}"/>
    <hyperlink ref="D10" location="null!A1" display="Modelo de egresos" xr:uid="{00000000-0004-0000-0100-000006000000}"/>
    <hyperlink ref="D11" location="null!A1" display="Modelo de inversión" xr:uid="{00000000-0004-0000-0100-000007000000}"/>
    <hyperlink ref="D12" location="Amortizaciones!A1" display="Amortizaciones" xr:uid="{00000000-0004-0000-0100-000008000000}"/>
    <hyperlink ref="D13" location="'Presupuesto financiero'!A1" display="Presupuesto Financiero" xr:uid="{00000000-0004-0000-0100-000009000000}"/>
    <hyperlink ref="D14" location="null!A1" display="Matriz de riesgos" xr:uid="{00000000-0004-0000-0100-00000A000000}"/>
    <hyperlink ref="D15" location="null!A1" display="Escenario 1" xr:uid="{00000000-0004-0000-0100-00000B000000}"/>
    <hyperlink ref="D16" location="null!A1" display="Escenario 2" xr:uid="{00000000-0004-0000-0100-00000C000000}"/>
    <hyperlink ref="D17" location="null!A1" display="Escenario 3" xr:uid="{00000000-0004-0000-0100-00000D000000}"/>
    <hyperlink ref="D18" location="null!A1" display="Plan de contingencia" xr:uid="{00000000-0004-0000-0100-00000E000000}"/>
  </hyperlink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63"/>
  <sheetViews>
    <sheetView zoomScale="85" zoomScaleNormal="85" workbookViewId="0">
      <pane ySplit="1" topLeftCell="A31" activePane="bottomLeft" state="frozen"/>
      <selection pane="bottomLeft" activeCell="H35" sqref="H35"/>
    </sheetView>
  </sheetViews>
  <sheetFormatPr defaultColWidth="12.59765625" defaultRowHeight="15" customHeight="1"/>
  <cols>
    <col min="1" max="1" width="10" customWidth="1"/>
    <col min="2" max="2" width="26" customWidth="1"/>
    <col min="3" max="4" width="24" customWidth="1"/>
    <col min="5" max="5" width="40.59765625" customWidth="1"/>
    <col min="6" max="6" width="16.8984375" customWidth="1"/>
    <col min="7" max="7" width="10" customWidth="1"/>
    <col min="8" max="8" width="13.59765625" customWidth="1"/>
    <col min="9" max="13" width="10" customWidth="1"/>
    <col min="14" max="14" width="7.69921875" customWidth="1"/>
    <col min="15" max="25" width="10" customWidth="1"/>
  </cols>
  <sheetData>
    <row r="1" spans="1:26" ht="61.2" customHeight="1">
      <c r="A1" s="8"/>
      <c r="B1" s="8"/>
      <c r="C1" s="8"/>
      <c r="D1" s="8"/>
      <c r="E1" s="9" t="s">
        <v>7</v>
      </c>
      <c r="F1" s="10"/>
      <c r="G1" s="10"/>
      <c r="H1" s="8"/>
      <c r="I1" s="8"/>
      <c r="J1" s="8"/>
      <c r="K1" s="8"/>
      <c r="L1" s="8"/>
      <c r="M1" s="8"/>
      <c r="N1" s="8"/>
      <c r="O1" s="8"/>
      <c r="P1" s="8"/>
      <c r="Q1" s="8"/>
      <c r="R1" s="8"/>
      <c r="S1" s="8"/>
      <c r="T1" s="8"/>
      <c r="U1" s="8"/>
      <c r="V1" s="8"/>
      <c r="W1" s="8"/>
      <c r="X1" s="8"/>
      <c r="Y1" s="8"/>
      <c r="Z1" s="8"/>
    </row>
    <row r="2" spans="1:26" ht="14.4" customHeight="1">
      <c r="A2" s="1"/>
      <c r="B2" s="1"/>
      <c r="C2" s="1"/>
      <c r="D2" s="1"/>
      <c r="E2" s="1"/>
      <c r="F2" s="1"/>
      <c r="G2" s="1"/>
      <c r="H2" s="1"/>
      <c r="I2" s="1"/>
      <c r="J2" s="1"/>
      <c r="K2" s="1"/>
      <c r="L2" s="1"/>
      <c r="M2" s="1"/>
      <c r="N2" s="1"/>
      <c r="O2" s="1"/>
      <c r="P2" s="1"/>
      <c r="Q2" s="1"/>
      <c r="R2" s="1"/>
      <c r="S2" s="1"/>
      <c r="T2" s="1"/>
      <c r="U2" s="1"/>
      <c r="V2" s="1"/>
      <c r="W2" s="1"/>
      <c r="X2" s="1"/>
      <c r="Y2" s="1"/>
      <c r="Z2" s="1"/>
    </row>
    <row r="3" spans="1:26" ht="31.95" customHeight="1">
      <c r="A3" s="1"/>
      <c r="B3" s="622" t="s">
        <v>23</v>
      </c>
      <c r="C3" s="620"/>
      <c r="D3" s="620"/>
      <c r="E3" s="621"/>
      <c r="K3" s="1"/>
      <c r="L3" s="1"/>
      <c r="M3" s="1"/>
      <c r="N3" s="1"/>
      <c r="O3" s="1"/>
      <c r="P3" s="1"/>
      <c r="Q3" s="1"/>
      <c r="R3" s="1"/>
      <c r="S3" s="1"/>
      <c r="T3" s="1"/>
      <c r="U3" s="1"/>
      <c r="V3" s="1"/>
      <c r="W3" s="1"/>
      <c r="X3" s="1"/>
      <c r="Y3" s="1"/>
      <c r="Z3" s="1"/>
    </row>
    <row r="4" spans="1:26" ht="198" customHeight="1">
      <c r="A4" s="11"/>
      <c r="B4" s="628" t="s">
        <v>24</v>
      </c>
      <c r="C4" s="629"/>
      <c r="D4" s="629"/>
      <c r="E4" s="630"/>
      <c r="K4" s="12"/>
      <c r="L4" s="1"/>
      <c r="M4" s="1"/>
      <c r="N4" s="1"/>
      <c r="O4" s="1"/>
      <c r="P4" s="1"/>
      <c r="Q4" s="1"/>
      <c r="R4" s="1"/>
      <c r="S4" s="1"/>
      <c r="T4" s="1"/>
      <c r="U4" s="1"/>
      <c r="V4" s="1"/>
      <c r="W4" s="1"/>
      <c r="X4" s="1"/>
      <c r="Y4" s="1"/>
      <c r="Z4" s="1"/>
    </row>
    <row r="5" spans="1:26" ht="14.4" customHeight="1">
      <c r="A5" s="1"/>
      <c r="B5" s="13"/>
      <c r="C5" s="13"/>
      <c r="D5" s="13"/>
      <c r="E5" s="13"/>
      <c r="F5" s="13"/>
      <c r="G5" s="13"/>
      <c r="H5" s="13"/>
      <c r="I5" s="13"/>
      <c r="J5" s="13"/>
      <c r="K5" s="1"/>
      <c r="L5" s="1"/>
      <c r="M5" s="1"/>
      <c r="N5" s="1"/>
      <c r="O5" s="1"/>
      <c r="P5" s="1"/>
      <c r="Q5" s="1"/>
      <c r="R5" s="1"/>
      <c r="S5" s="1"/>
      <c r="T5" s="1"/>
      <c r="U5" s="1"/>
      <c r="V5" s="1"/>
      <c r="W5" s="1"/>
      <c r="X5" s="1"/>
      <c r="Y5" s="1"/>
      <c r="Z5" s="1"/>
    </row>
    <row r="6" spans="1:26" ht="14.4" customHeight="1">
      <c r="A6" s="1"/>
      <c r="B6" s="1"/>
      <c r="C6" s="1"/>
      <c r="D6" s="1"/>
      <c r="E6" s="1"/>
      <c r="F6" s="1"/>
      <c r="G6" s="1"/>
      <c r="H6" s="1"/>
      <c r="I6" s="1"/>
      <c r="J6" s="1"/>
      <c r="K6" s="1"/>
      <c r="L6" s="1"/>
      <c r="M6" s="1"/>
      <c r="N6" s="1"/>
      <c r="O6" s="1"/>
      <c r="P6" s="1"/>
      <c r="Q6" s="1"/>
      <c r="R6" s="1"/>
      <c r="S6" s="1"/>
      <c r="T6" s="1"/>
      <c r="U6" s="1"/>
      <c r="V6" s="1"/>
      <c r="W6" s="1"/>
      <c r="X6" s="1"/>
      <c r="Y6" s="1"/>
      <c r="Z6" s="1"/>
    </row>
    <row r="7" spans="1:26" ht="31.95" customHeight="1">
      <c r="A7" s="1"/>
      <c r="B7" s="622" t="s">
        <v>25</v>
      </c>
      <c r="C7" s="620"/>
      <c r="D7" s="620"/>
      <c r="E7" s="621"/>
      <c r="K7" s="1"/>
      <c r="L7" s="1"/>
      <c r="M7" s="1"/>
      <c r="N7" s="1"/>
      <c r="O7" s="1"/>
      <c r="P7" s="1"/>
      <c r="Q7" s="1"/>
      <c r="R7" s="1"/>
      <c r="S7" s="1"/>
      <c r="T7" s="1"/>
      <c r="U7" s="1"/>
      <c r="V7" s="1"/>
      <c r="W7" s="1"/>
      <c r="X7" s="1"/>
      <c r="Y7" s="1"/>
      <c r="Z7" s="1"/>
    </row>
    <row r="8" spans="1:26" ht="54" customHeight="1">
      <c r="A8" s="1"/>
      <c r="B8" s="631" t="s">
        <v>26</v>
      </c>
      <c r="C8" s="629"/>
      <c r="D8" s="629"/>
      <c r="E8" s="630"/>
      <c r="K8" s="1"/>
      <c r="L8" s="1"/>
      <c r="M8" s="1"/>
      <c r="N8" s="1"/>
      <c r="O8" s="1"/>
      <c r="P8" s="1"/>
      <c r="Q8" s="1"/>
      <c r="R8" s="1"/>
      <c r="S8" s="1"/>
      <c r="T8" s="1"/>
      <c r="U8" s="1"/>
      <c r="V8" s="1"/>
      <c r="W8" s="1"/>
      <c r="X8" s="1"/>
      <c r="Y8" s="1"/>
      <c r="Z8" s="1"/>
    </row>
    <row r="9" spans="1:26" ht="18" customHeight="1">
      <c r="A9" s="1"/>
      <c r="B9" s="14"/>
      <c r="C9" s="14"/>
      <c r="D9" s="14"/>
      <c r="E9" s="14"/>
      <c r="F9" s="14"/>
      <c r="G9" s="14"/>
      <c r="H9" s="14"/>
      <c r="I9" s="14"/>
      <c r="J9" s="14"/>
      <c r="K9" s="1"/>
      <c r="L9" s="1"/>
      <c r="M9" s="1"/>
      <c r="N9" s="1"/>
      <c r="O9" s="1"/>
      <c r="P9" s="1"/>
      <c r="Q9" s="1"/>
      <c r="R9" s="1"/>
      <c r="S9" s="1"/>
      <c r="T9" s="1"/>
      <c r="U9" s="1"/>
      <c r="V9" s="1"/>
      <c r="W9" s="1"/>
      <c r="X9" s="1"/>
      <c r="Y9" s="1"/>
      <c r="Z9" s="1"/>
    </row>
    <row r="10" spans="1:26" ht="18" customHeight="1">
      <c r="A10" s="1"/>
      <c r="B10" s="14"/>
      <c r="C10" s="14"/>
      <c r="D10" s="14"/>
      <c r="E10" s="14"/>
      <c r="F10" s="14"/>
      <c r="G10" s="14"/>
      <c r="H10" s="14"/>
      <c r="I10" s="14"/>
      <c r="J10" s="14"/>
      <c r="K10" s="1"/>
      <c r="L10" s="1"/>
      <c r="M10" s="1"/>
      <c r="N10" s="1"/>
      <c r="O10" s="1"/>
      <c r="P10" s="1"/>
      <c r="Q10" s="1"/>
      <c r="R10" s="1"/>
      <c r="S10" s="1"/>
      <c r="T10" s="1"/>
      <c r="U10" s="1"/>
      <c r="V10" s="1"/>
      <c r="W10" s="1"/>
      <c r="X10" s="1"/>
      <c r="Y10" s="1"/>
      <c r="Z10" s="1"/>
    </row>
    <row r="11" spans="1:26" ht="33.9" customHeight="1">
      <c r="A11" s="1"/>
      <c r="B11" s="15" t="s">
        <v>27</v>
      </c>
      <c r="C11" s="15" t="s">
        <v>28</v>
      </c>
      <c r="D11" s="15" t="s">
        <v>29</v>
      </c>
      <c r="E11" s="14"/>
      <c r="F11" s="14"/>
      <c r="G11" s="14"/>
      <c r="H11" s="14"/>
      <c r="I11" s="14"/>
      <c r="J11" s="14"/>
      <c r="K11" s="1"/>
      <c r="L11" s="1"/>
      <c r="M11" s="1"/>
      <c r="N11" s="1"/>
      <c r="O11" s="1"/>
      <c r="P11" s="1"/>
      <c r="Q11" s="1"/>
      <c r="R11" s="1"/>
      <c r="S11" s="1"/>
      <c r="T11" s="1"/>
      <c r="U11" s="1"/>
      <c r="V11" s="1"/>
      <c r="W11" s="1"/>
      <c r="X11" s="1"/>
      <c r="Y11" s="1"/>
      <c r="Z11" s="1"/>
    </row>
    <row r="12" spans="1:26" ht="18" customHeight="1">
      <c r="A12" s="1"/>
      <c r="B12" s="16">
        <v>3400</v>
      </c>
      <c r="C12" s="16">
        <v>480</v>
      </c>
      <c r="D12" s="17">
        <f>B12*C12</f>
        <v>1632000</v>
      </c>
      <c r="E12" s="14"/>
      <c r="F12" s="14"/>
      <c r="G12" s="14"/>
      <c r="H12" s="14"/>
      <c r="I12" s="14"/>
      <c r="J12" s="14"/>
      <c r="K12" s="1"/>
      <c r="L12" s="1"/>
      <c r="M12" s="1"/>
      <c r="N12" s="1"/>
      <c r="O12" s="1"/>
      <c r="P12" s="1"/>
      <c r="Q12" s="1"/>
      <c r="R12" s="1"/>
      <c r="S12" s="1"/>
      <c r="T12" s="1"/>
      <c r="U12" s="1"/>
      <c r="V12" s="1"/>
      <c r="W12" s="1"/>
      <c r="X12" s="1"/>
      <c r="Y12" s="1"/>
      <c r="Z12" s="1"/>
    </row>
    <row r="13" spans="1:26" ht="18" customHeight="1">
      <c r="A13" s="1"/>
      <c r="B13" s="14"/>
      <c r="C13" s="14"/>
      <c r="D13" s="14"/>
      <c r="E13" s="14"/>
      <c r="F13" s="14"/>
      <c r="G13" s="14"/>
      <c r="H13" s="14"/>
      <c r="I13" s="14"/>
      <c r="J13" s="14"/>
      <c r="K13" s="1"/>
      <c r="L13" s="1"/>
      <c r="M13" s="1"/>
      <c r="N13" s="1"/>
      <c r="O13" s="1"/>
      <c r="P13" s="1"/>
      <c r="Q13" s="1"/>
      <c r="R13" s="1"/>
      <c r="S13" s="1"/>
      <c r="T13" s="1"/>
      <c r="U13" s="1"/>
      <c r="V13" s="1"/>
      <c r="W13" s="1"/>
      <c r="X13" s="1"/>
      <c r="Y13" s="1"/>
      <c r="Z13" s="1"/>
    </row>
    <row r="14" spans="1:26" ht="14.4"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31.95" customHeight="1">
      <c r="A15" s="1"/>
      <c r="B15" s="622" t="s">
        <v>30</v>
      </c>
      <c r="C15" s="620"/>
      <c r="D15" s="620"/>
      <c r="E15" s="621"/>
      <c r="K15" s="1"/>
      <c r="L15" s="1"/>
      <c r="M15" s="1"/>
      <c r="N15" s="1"/>
      <c r="O15" s="1"/>
      <c r="P15" s="1"/>
      <c r="Q15" s="1"/>
      <c r="R15" s="1"/>
      <c r="S15" s="1"/>
      <c r="T15" s="1"/>
      <c r="U15" s="1"/>
      <c r="V15" s="1"/>
      <c r="W15" s="1"/>
      <c r="X15" s="1"/>
      <c r="Y15" s="1"/>
      <c r="Z15" s="1"/>
    </row>
    <row r="16" spans="1:26" ht="111.9" customHeight="1">
      <c r="A16" s="1"/>
      <c r="B16" s="631" t="s">
        <v>31</v>
      </c>
      <c r="C16" s="629"/>
      <c r="D16" s="629"/>
      <c r="E16" s="630"/>
      <c r="K16" s="1"/>
      <c r="L16" s="1"/>
      <c r="M16" s="1"/>
      <c r="N16" s="1"/>
      <c r="O16" s="1"/>
      <c r="P16" s="1"/>
      <c r="Q16" s="1"/>
      <c r="R16" s="1"/>
      <c r="S16" s="1"/>
      <c r="T16" s="1"/>
      <c r="U16" s="1"/>
      <c r="V16" s="1"/>
      <c r="W16" s="1"/>
      <c r="X16" s="1"/>
      <c r="Y16" s="1"/>
      <c r="Z16" s="1"/>
    </row>
    <row r="17" spans="1:26" ht="15.6" customHeight="1">
      <c r="A17" s="1"/>
      <c r="B17" s="18"/>
      <c r="C17" s="18"/>
      <c r="D17" s="18"/>
      <c r="E17" s="18"/>
      <c r="F17" s="18"/>
      <c r="G17" s="18"/>
      <c r="H17" s="18"/>
      <c r="I17" s="18"/>
      <c r="J17" s="18"/>
      <c r="K17" s="18"/>
      <c r="L17" s="18"/>
      <c r="M17" s="18"/>
      <c r="N17" s="18"/>
      <c r="O17" s="1"/>
      <c r="P17" s="1"/>
      <c r="Q17" s="1"/>
      <c r="R17" s="1"/>
      <c r="S17" s="1"/>
      <c r="T17" s="1"/>
      <c r="U17" s="1"/>
      <c r="V17" s="1"/>
      <c r="W17" s="1"/>
      <c r="X17" s="1"/>
      <c r="Y17" s="1"/>
      <c r="Z17" s="1"/>
    </row>
    <row r="18" spans="1:26" ht="15.6" customHeight="1">
      <c r="A18" s="1"/>
      <c r="B18" s="1"/>
      <c r="C18" s="1"/>
      <c r="D18" s="1"/>
      <c r="E18" s="18"/>
      <c r="F18" s="18"/>
      <c r="G18" s="18"/>
      <c r="H18" s="18"/>
      <c r="I18" s="18"/>
      <c r="J18" s="18"/>
      <c r="K18" s="18"/>
      <c r="L18" s="18"/>
      <c r="M18" s="18"/>
      <c r="N18" s="18"/>
      <c r="O18" s="1"/>
      <c r="P18" s="1"/>
      <c r="Q18" s="1"/>
      <c r="R18" s="1"/>
      <c r="S18" s="1"/>
      <c r="T18" s="1"/>
      <c r="U18" s="1"/>
      <c r="V18" s="1"/>
      <c r="W18" s="1"/>
      <c r="X18" s="1"/>
      <c r="Y18" s="1"/>
      <c r="Z18" s="1"/>
    </row>
    <row r="19" spans="1:26" ht="15.6" customHeight="1">
      <c r="A19" s="1"/>
      <c r="B19" s="1"/>
      <c r="C19" s="1"/>
      <c r="D19" s="1"/>
      <c r="E19" s="18"/>
      <c r="F19" s="18"/>
      <c r="G19" s="18"/>
      <c r="H19" s="18"/>
      <c r="I19" s="18"/>
      <c r="J19" s="18"/>
      <c r="K19" s="18"/>
      <c r="L19" s="18"/>
      <c r="M19" s="18"/>
      <c r="N19" s="18"/>
      <c r="O19" s="1"/>
      <c r="P19" s="1"/>
      <c r="Q19" s="1"/>
      <c r="R19" s="1"/>
      <c r="S19" s="1"/>
      <c r="T19" s="1"/>
      <c r="U19" s="1"/>
      <c r="V19" s="1"/>
      <c r="W19" s="1"/>
      <c r="X19" s="1"/>
      <c r="Y19" s="1"/>
      <c r="Z19" s="1"/>
    </row>
    <row r="20" spans="1:26" ht="15.6" customHeight="1">
      <c r="A20" s="1"/>
      <c r="B20" s="1"/>
      <c r="C20" s="1"/>
      <c r="D20" s="18"/>
      <c r="E20" s="18"/>
      <c r="F20" s="18"/>
      <c r="G20" s="18"/>
      <c r="H20" s="18"/>
      <c r="I20" s="18"/>
      <c r="J20" s="18"/>
      <c r="K20" s="18"/>
      <c r="L20" s="18"/>
      <c r="M20" s="18"/>
      <c r="N20" s="18"/>
      <c r="O20" s="1"/>
      <c r="P20" s="1"/>
      <c r="Q20" s="1"/>
      <c r="R20" s="1"/>
      <c r="S20" s="1"/>
      <c r="T20" s="1"/>
      <c r="U20" s="1"/>
      <c r="V20" s="1"/>
      <c r="W20" s="1"/>
      <c r="X20" s="1"/>
      <c r="Y20" s="1"/>
      <c r="Z20" s="1"/>
    </row>
    <row r="21" spans="1:26" ht="15.6" customHeight="1">
      <c r="A21" s="1"/>
      <c r="B21" s="18"/>
      <c r="C21" s="18"/>
      <c r="D21" s="18"/>
      <c r="E21" s="18"/>
      <c r="F21" s="18"/>
      <c r="G21" s="18"/>
      <c r="H21" s="18"/>
      <c r="I21" s="18"/>
      <c r="J21" s="18"/>
      <c r="K21" s="18"/>
      <c r="L21" s="18"/>
      <c r="M21" s="18"/>
      <c r="N21" s="18"/>
      <c r="O21" s="1"/>
      <c r="P21" s="1"/>
      <c r="Q21" s="1"/>
      <c r="R21" s="1"/>
      <c r="S21" s="1"/>
      <c r="T21" s="1"/>
      <c r="U21" s="1"/>
      <c r="V21" s="1"/>
      <c r="W21" s="1"/>
      <c r="X21" s="1"/>
      <c r="Y21" s="1"/>
      <c r="Z21" s="1"/>
    </row>
    <row r="22" spans="1:26" ht="25.2" customHeight="1">
      <c r="A22" s="643" t="s">
        <v>32</v>
      </c>
      <c r="B22" s="644"/>
      <c r="C22" s="644"/>
      <c r="D22" s="645"/>
      <c r="E22" s="18"/>
      <c r="F22" s="18"/>
      <c r="G22" s="18"/>
      <c r="H22" s="18"/>
      <c r="I22" s="18"/>
      <c r="J22" s="18"/>
      <c r="K22" s="18"/>
      <c r="L22" s="18"/>
      <c r="M22" s="18"/>
      <c r="N22" s="18"/>
      <c r="O22" s="1"/>
      <c r="P22" s="1"/>
      <c r="Q22" s="1"/>
      <c r="R22" s="1"/>
      <c r="S22" s="1"/>
      <c r="T22" s="1"/>
      <c r="U22" s="1"/>
      <c r="V22" s="1"/>
      <c r="W22" s="1"/>
      <c r="X22" s="1"/>
      <c r="Y22" s="1"/>
      <c r="Z22" s="1"/>
    </row>
    <row r="23" spans="1:26" ht="18" customHeight="1">
      <c r="A23" s="19" t="s">
        <v>33</v>
      </c>
      <c r="B23" s="19" t="s">
        <v>34</v>
      </c>
      <c r="C23" s="19" t="s">
        <v>35</v>
      </c>
      <c r="D23" s="19" t="s">
        <v>36</v>
      </c>
      <c r="E23" s="18"/>
      <c r="F23" s="18"/>
      <c r="G23" s="18"/>
      <c r="H23" s="18"/>
      <c r="I23" s="18"/>
      <c r="J23" s="18"/>
      <c r="K23" s="18"/>
      <c r="L23" s="18"/>
      <c r="M23" s="18"/>
      <c r="N23" s="18"/>
      <c r="O23" s="1"/>
      <c r="P23" s="1"/>
      <c r="Q23" s="1"/>
      <c r="R23" s="1"/>
      <c r="S23" s="1"/>
      <c r="T23" s="1"/>
      <c r="U23" s="1"/>
      <c r="V23" s="1"/>
      <c r="W23" s="1"/>
      <c r="X23" s="1"/>
      <c r="Y23" s="1"/>
      <c r="Z23" s="1"/>
    </row>
    <row r="24" spans="1:26" ht="15.6" customHeight="1">
      <c r="A24" s="20" t="s">
        <v>37</v>
      </c>
      <c r="B24" s="20" t="s">
        <v>38</v>
      </c>
      <c r="C24" s="22">
        <v>0.03</v>
      </c>
      <c r="D24" s="21">
        <f>C24*$D$12</f>
        <v>48960</v>
      </c>
      <c r="E24" s="18"/>
      <c r="F24" s="18"/>
      <c r="G24" s="18"/>
      <c r="H24" s="18"/>
      <c r="I24" s="18"/>
      <c r="J24" s="18"/>
      <c r="K24" s="18"/>
      <c r="L24" s="18"/>
      <c r="M24" s="18"/>
      <c r="N24" s="18"/>
      <c r="O24" s="1"/>
      <c r="P24" s="1"/>
      <c r="Q24" s="1"/>
      <c r="R24" s="1"/>
      <c r="S24" s="1"/>
      <c r="T24" s="1"/>
      <c r="U24" s="1"/>
      <c r="V24" s="1"/>
      <c r="W24" s="1"/>
      <c r="X24" s="1"/>
      <c r="Y24" s="1"/>
      <c r="Z24" s="1"/>
    </row>
    <row r="25" spans="1:26" ht="15.6" customHeight="1">
      <c r="A25" s="20" t="s">
        <v>39</v>
      </c>
      <c r="B25" s="20" t="s">
        <v>40</v>
      </c>
      <c r="C25" s="22">
        <v>0.08</v>
      </c>
      <c r="D25" s="21">
        <f>C25*$D$12</f>
        <v>130560</v>
      </c>
      <c r="E25" s="18"/>
      <c r="F25" s="18"/>
      <c r="G25" s="18"/>
      <c r="H25" s="18"/>
      <c r="I25" s="18"/>
      <c r="J25" s="18"/>
      <c r="K25" s="18"/>
      <c r="L25" s="18"/>
      <c r="M25" s="18"/>
      <c r="N25" s="18"/>
      <c r="O25" s="1"/>
      <c r="P25" s="1"/>
      <c r="Q25" s="1"/>
      <c r="R25" s="1"/>
      <c r="S25" s="1"/>
      <c r="T25" s="1"/>
      <c r="U25" s="1"/>
      <c r="V25" s="1"/>
      <c r="W25" s="1"/>
      <c r="X25" s="1"/>
      <c r="Y25" s="1"/>
      <c r="Z25" s="1"/>
    </row>
    <row r="26" spans="1:26" ht="15.6" customHeight="1">
      <c r="A26" s="20" t="s">
        <v>41</v>
      </c>
      <c r="B26" s="20" t="s">
        <v>42</v>
      </c>
      <c r="C26" s="22">
        <v>0.15</v>
      </c>
      <c r="D26" s="21">
        <f>C26*$D$12</f>
        <v>244800</v>
      </c>
      <c r="E26" s="18"/>
      <c r="F26" s="18"/>
      <c r="G26" s="18"/>
      <c r="H26" s="18"/>
      <c r="I26" s="18"/>
      <c r="J26" s="18"/>
      <c r="K26" s="18"/>
      <c r="L26" s="18"/>
      <c r="M26" s="18"/>
      <c r="N26" s="18"/>
      <c r="O26" s="1"/>
      <c r="P26" s="1"/>
      <c r="Q26" s="1"/>
      <c r="R26" s="1"/>
      <c r="S26" s="1"/>
      <c r="T26" s="1"/>
      <c r="U26" s="1"/>
      <c r="V26" s="1"/>
      <c r="W26" s="1"/>
      <c r="X26" s="1"/>
      <c r="Y26" s="1"/>
      <c r="Z26" s="1"/>
    </row>
    <row r="27" spans="1:26" ht="15.6" customHeight="1">
      <c r="A27" s="1"/>
      <c r="B27" s="18"/>
      <c r="C27" s="23"/>
      <c r="D27" s="24"/>
      <c r="E27" s="18"/>
      <c r="F27" s="18"/>
      <c r="G27" s="18"/>
      <c r="H27" s="18"/>
      <c r="I27" s="18"/>
      <c r="J27" s="18"/>
      <c r="K27" s="18"/>
      <c r="L27" s="18"/>
      <c r="M27" s="18"/>
      <c r="N27" s="18"/>
      <c r="O27" s="1"/>
      <c r="P27" s="1"/>
      <c r="Q27" s="1"/>
      <c r="R27" s="1"/>
      <c r="S27" s="1"/>
      <c r="T27" s="1"/>
      <c r="U27" s="1"/>
      <c r="V27" s="1"/>
      <c r="W27" s="1"/>
      <c r="X27" s="1"/>
      <c r="Y27" s="1"/>
      <c r="Z27" s="1"/>
    </row>
    <row r="28" spans="1:26" ht="15.6" customHeight="1">
      <c r="A28" s="1"/>
      <c r="C28" s="23"/>
      <c r="D28" s="24"/>
      <c r="E28" s="18"/>
      <c r="F28" s="18"/>
      <c r="G28" s="18"/>
      <c r="H28" s="18"/>
      <c r="I28" s="18"/>
      <c r="J28" s="18"/>
      <c r="K28" s="18"/>
      <c r="L28" s="18"/>
      <c r="M28" s="18"/>
      <c r="N28" s="18"/>
      <c r="O28" s="1"/>
      <c r="P28" s="1"/>
      <c r="Q28" s="1"/>
      <c r="R28" s="1"/>
      <c r="S28" s="1"/>
      <c r="T28" s="1"/>
      <c r="U28" s="1"/>
      <c r="V28" s="1"/>
      <c r="W28" s="1"/>
      <c r="X28" s="1"/>
      <c r="Y28" s="1"/>
      <c r="Z28" s="1"/>
    </row>
    <row r="29" spans="1:26" ht="15.6" customHeight="1">
      <c r="A29" s="1"/>
      <c r="B29" s="18"/>
      <c r="C29" s="23"/>
      <c r="D29" s="24"/>
      <c r="E29" s="18"/>
      <c r="F29" s="18"/>
      <c r="G29" s="18"/>
      <c r="H29" s="18"/>
      <c r="I29" s="18"/>
      <c r="J29" s="18"/>
      <c r="K29" s="18"/>
      <c r="L29" s="18"/>
      <c r="M29" s="18"/>
      <c r="N29" s="18"/>
      <c r="O29" s="1"/>
      <c r="P29" s="1"/>
      <c r="Q29" s="1"/>
      <c r="R29" s="1"/>
      <c r="S29" s="1"/>
      <c r="T29" s="1"/>
      <c r="U29" s="1"/>
      <c r="V29" s="1"/>
      <c r="W29" s="1"/>
      <c r="X29" s="1"/>
      <c r="Y29" s="1"/>
      <c r="Z29" s="1"/>
    </row>
    <row r="30" spans="1:26" ht="15.6" customHeight="1">
      <c r="A30" s="1"/>
      <c r="B30" s="18"/>
      <c r="C30" s="23"/>
      <c r="D30" s="24"/>
      <c r="E30" s="18"/>
      <c r="F30" s="18"/>
      <c r="G30" s="18"/>
      <c r="H30" s="18"/>
      <c r="I30" s="18"/>
      <c r="J30" s="18"/>
      <c r="K30" s="18"/>
      <c r="L30" s="18"/>
      <c r="M30" s="18"/>
      <c r="N30" s="18"/>
      <c r="O30" s="1"/>
      <c r="P30" s="1"/>
      <c r="Q30" s="1"/>
      <c r="R30" s="1"/>
      <c r="S30" s="1"/>
      <c r="T30" s="1"/>
      <c r="U30" s="1"/>
      <c r="V30" s="1"/>
      <c r="W30" s="1"/>
      <c r="X30" s="1"/>
      <c r="Y30" s="1"/>
      <c r="Z30" s="1"/>
    </row>
    <row r="31" spans="1:26" ht="126" customHeight="1">
      <c r="A31" s="1"/>
      <c r="B31" s="632" t="s">
        <v>43</v>
      </c>
      <c r="C31" s="633"/>
      <c r="D31" s="633"/>
      <c r="E31" s="633"/>
      <c r="K31" s="18"/>
      <c r="L31" s="18"/>
      <c r="M31" s="18"/>
      <c r="N31" s="18"/>
      <c r="O31" s="1"/>
      <c r="P31" s="1"/>
      <c r="Q31" s="1"/>
      <c r="R31" s="1"/>
      <c r="S31" s="1"/>
      <c r="T31" s="1"/>
      <c r="U31" s="1"/>
      <c r="V31" s="1"/>
      <c r="W31" s="1"/>
      <c r="X31" s="1"/>
      <c r="Y31" s="1"/>
      <c r="Z31" s="1"/>
    </row>
    <row r="32" spans="1:26" ht="16.2" customHeight="1" thickBot="1">
      <c r="A32" s="1"/>
      <c r="B32" s="18"/>
      <c r="C32" s="18"/>
      <c r="D32" s="18"/>
      <c r="E32" s="18"/>
      <c r="F32" s="18"/>
      <c r="G32" s="1"/>
      <c r="H32" s="18"/>
      <c r="I32" s="18"/>
      <c r="J32" s="18"/>
      <c r="K32" s="18"/>
      <c r="L32" s="18"/>
      <c r="M32" s="18"/>
      <c r="N32" s="18"/>
      <c r="O32" s="1"/>
      <c r="P32" s="1"/>
      <c r="Q32" s="1"/>
      <c r="R32" s="1"/>
      <c r="S32" s="1"/>
      <c r="T32" s="1"/>
      <c r="U32" s="1"/>
      <c r="V32" s="1"/>
      <c r="W32" s="1"/>
      <c r="X32" s="1"/>
      <c r="Y32" s="1"/>
      <c r="Z32" s="1"/>
    </row>
    <row r="33" spans="1:26" ht="25.95" customHeight="1">
      <c r="A33" s="1"/>
      <c r="B33" s="622" t="s">
        <v>44</v>
      </c>
      <c r="C33" s="620"/>
      <c r="D33" s="620"/>
      <c r="E33" s="620"/>
      <c r="F33" s="621"/>
      <c r="G33" s="1"/>
      <c r="H33" s="18"/>
      <c r="I33" s="18"/>
      <c r="J33" s="18"/>
      <c r="K33" s="18"/>
      <c r="L33" s="18"/>
      <c r="M33" s="18"/>
      <c r="N33" s="18"/>
      <c r="O33" s="1"/>
      <c r="P33" s="1"/>
      <c r="Q33" s="1"/>
      <c r="R33" s="1"/>
      <c r="S33" s="1"/>
      <c r="T33" s="1"/>
      <c r="U33" s="1"/>
      <c r="V33" s="1"/>
      <c r="W33" s="1"/>
      <c r="X33" s="1"/>
      <c r="Y33" s="1"/>
      <c r="Z33" s="1"/>
    </row>
    <row r="34" spans="1:26" ht="25.95" customHeight="1">
      <c r="A34" s="1"/>
      <c r="B34" s="25"/>
      <c r="C34" s="25"/>
      <c r="D34" s="25"/>
      <c r="E34" s="25"/>
      <c r="F34" s="25"/>
      <c r="G34" s="1"/>
      <c r="H34" s="18"/>
      <c r="I34" s="18"/>
      <c r="J34" s="18"/>
      <c r="K34" s="18"/>
      <c r="L34" s="18"/>
      <c r="M34" s="18"/>
      <c r="N34" s="18"/>
      <c r="O34" s="1"/>
      <c r="P34" s="1"/>
      <c r="Q34" s="1"/>
      <c r="R34" s="1"/>
      <c r="S34" s="1"/>
      <c r="T34" s="1"/>
      <c r="U34" s="1"/>
      <c r="V34" s="1"/>
      <c r="W34" s="1"/>
      <c r="X34" s="1"/>
      <c r="Y34" s="1"/>
      <c r="Z34" s="1"/>
    </row>
    <row r="35" spans="1:26" ht="25.95" customHeight="1">
      <c r="A35" s="1"/>
      <c r="B35" s="622" t="s">
        <v>45</v>
      </c>
      <c r="C35" s="620"/>
      <c r="D35" s="620"/>
      <c r="E35" s="620"/>
      <c r="F35" s="621"/>
      <c r="G35" s="1"/>
      <c r="H35" s="1"/>
      <c r="I35" s="1"/>
      <c r="J35" s="1"/>
      <c r="K35" s="1"/>
      <c r="L35" s="1"/>
      <c r="M35" s="1"/>
      <c r="N35" s="1"/>
      <c r="O35" s="1"/>
      <c r="P35" s="1"/>
      <c r="Q35" s="1"/>
      <c r="R35" s="1"/>
      <c r="S35" s="1"/>
      <c r="T35" s="1"/>
      <c r="U35" s="1"/>
      <c r="V35" s="1"/>
      <c r="W35" s="1"/>
      <c r="X35" s="1"/>
      <c r="Y35" s="1"/>
      <c r="Z35" s="1"/>
    </row>
    <row r="36" spans="1:26" ht="14.4" customHeight="1" thickBot="1">
      <c r="A36" s="1"/>
      <c r="B36" s="26"/>
      <c r="C36" s="635" t="s">
        <v>46</v>
      </c>
      <c r="D36" s="636"/>
      <c r="E36" s="636"/>
      <c r="F36" s="637"/>
      <c r="G36" s="1"/>
      <c r="H36" s="1"/>
      <c r="I36" s="1"/>
      <c r="J36" s="1"/>
      <c r="K36" s="1"/>
      <c r="L36" s="1"/>
      <c r="M36" s="1"/>
      <c r="N36" s="1"/>
      <c r="O36" s="1"/>
      <c r="P36" s="1"/>
      <c r="Q36" s="1"/>
      <c r="R36" s="1"/>
      <c r="S36" s="1"/>
      <c r="T36" s="1"/>
      <c r="U36" s="1"/>
      <c r="V36" s="1"/>
      <c r="W36" s="1"/>
      <c r="X36" s="1"/>
      <c r="Y36" s="1"/>
      <c r="Z36" s="1"/>
    </row>
    <row r="37" spans="1:26" ht="14.4" customHeight="1">
      <c r="A37" s="1"/>
      <c r="B37" s="26"/>
      <c r="C37" s="638"/>
      <c r="D37" s="633"/>
      <c r="E37" s="633"/>
      <c r="F37" s="639"/>
      <c r="G37" s="1"/>
      <c r="H37" s="1"/>
      <c r="I37" s="1"/>
      <c r="J37" s="1"/>
      <c r="K37" s="1"/>
      <c r="L37" s="1"/>
      <c r="M37" s="1"/>
      <c r="N37" s="1"/>
      <c r="O37" s="1"/>
      <c r="P37" s="1"/>
      <c r="Q37" s="1"/>
      <c r="R37" s="1"/>
      <c r="S37" s="1"/>
      <c r="T37" s="1"/>
      <c r="U37" s="1"/>
      <c r="V37" s="1"/>
      <c r="W37" s="1"/>
      <c r="X37" s="1"/>
      <c r="Y37" s="1"/>
      <c r="Z37" s="1"/>
    </row>
    <row r="38" spans="1:26" ht="15.75" customHeight="1" thickBot="1">
      <c r="A38" s="1"/>
      <c r="B38" s="26"/>
      <c r="C38" s="640"/>
      <c r="D38" s="641"/>
      <c r="E38" s="641"/>
      <c r="F38" s="642"/>
      <c r="G38" s="1"/>
      <c r="H38" s="1"/>
      <c r="I38" s="1"/>
      <c r="J38" s="1"/>
      <c r="K38" s="1"/>
      <c r="L38" s="1"/>
      <c r="M38" s="1"/>
      <c r="N38" s="1"/>
      <c r="O38" s="1"/>
      <c r="P38" s="1"/>
      <c r="Q38" s="1"/>
      <c r="R38" s="1"/>
      <c r="S38" s="1"/>
      <c r="T38" s="1"/>
      <c r="U38" s="1"/>
      <c r="V38" s="1"/>
      <c r="W38" s="1"/>
      <c r="X38" s="1"/>
      <c r="Y38" s="1"/>
      <c r="Z38" s="1"/>
    </row>
    <row r="39" spans="1:26" ht="16.2" customHeight="1" thickBot="1">
      <c r="A39" s="1"/>
      <c r="B39" s="26"/>
      <c r="C39" s="27" t="s">
        <v>47</v>
      </c>
      <c r="D39" s="27" t="s">
        <v>48</v>
      </c>
      <c r="E39" s="28"/>
      <c r="F39" s="28"/>
      <c r="G39" s="1"/>
      <c r="H39" s="1"/>
      <c r="I39" s="1"/>
      <c r="J39" s="1"/>
      <c r="K39" s="1"/>
      <c r="L39" s="1"/>
      <c r="M39" s="1"/>
      <c r="N39" s="1"/>
      <c r="O39" s="1"/>
      <c r="P39" s="1"/>
      <c r="Q39" s="1"/>
      <c r="R39" s="1"/>
      <c r="S39" s="1"/>
      <c r="T39" s="1"/>
      <c r="U39" s="1"/>
      <c r="V39" s="1"/>
      <c r="W39" s="1"/>
      <c r="X39" s="1"/>
      <c r="Y39" s="1"/>
      <c r="Z39" s="1"/>
    </row>
    <row r="40" spans="1:26" ht="14.4" customHeight="1">
      <c r="A40" s="1"/>
      <c r="B40" s="646" t="s">
        <v>49</v>
      </c>
      <c r="C40" s="623" t="s">
        <v>50</v>
      </c>
      <c r="D40" s="634" t="s">
        <v>50</v>
      </c>
      <c r="E40" s="627"/>
      <c r="F40" s="626"/>
      <c r="G40" s="1"/>
      <c r="H40" s="1"/>
      <c r="I40" s="1"/>
      <c r="J40" s="1"/>
      <c r="K40" s="1"/>
      <c r="L40" s="1"/>
      <c r="M40" s="1"/>
      <c r="N40" s="1"/>
      <c r="O40" s="1"/>
      <c r="P40" s="1"/>
      <c r="Q40" s="1"/>
      <c r="R40" s="1"/>
      <c r="S40" s="1"/>
      <c r="T40" s="1"/>
      <c r="U40" s="1"/>
      <c r="V40" s="1"/>
      <c r="W40" s="1"/>
      <c r="X40" s="1"/>
      <c r="Y40" s="1"/>
      <c r="Z40" s="1"/>
    </row>
    <row r="41" spans="1:26" ht="14.4" customHeight="1">
      <c r="A41" s="1"/>
      <c r="B41" s="624"/>
      <c r="C41" s="624"/>
      <c r="D41" s="624"/>
      <c r="E41" s="624"/>
      <c r="F41" s="624"/>
      <c r="G41" s="1"/>
      <c r="H41" s="1"/>
      <c r="I41" s="1"/>
      <c r="J41" s="1"/>
      <c r="K41" s="1"/>
      <c r="L41" s="1"/>
      <c r="M41" s="1"/>
      <c r="N41" s="1"/>
      <c r="O41" s="1"/>
      <c r="P41" s="1"/>
      <c r="Q41" s="1"/>
      <c r="R41" s="1"/>
      <c r="S41" s="1"/>
      <c r="T41" s="1"/>
      <c r="U41" s="1"/>
      <c r="V41" s="1"/>
      <c r="W41" s="1"/>
      <c r="X41" s="1"/>
      <c r="Y41" s="1"/>
      <c r="Z41" s="1"/>
    </row>
    <row r="42" spans="1:26" ht="14.4" customHeight="1">
      <c r="A42" s="1"/>
      <c r="B42" s="624"/>
      <c r="C42" s="625"/>
      <c r="D42" s="625"/>
      <c r="E42" s="625"/>
      <c r="F42" s="624"/>
      <c r="G42" s="1"/>
      <c r="H42" s="1"/>
      <c r="I42" s="1"/>
      <c r="J42" s="1"/>
      <c r="K42" s="1"/>
      <c r="L42" s="1"/>
      <c r="M42" s="1"/>
      <c r="N42" s="1"/>
      <c r="O42" s="1"/>
      <c r="P42" s="1"/>
      <c r="Q42" s="1"/>
      <c r="R42" s="1"/>
      <c r="S42" s="1"/>
      <c r="T42" s="1"/>
      <c r="U42" s="1"/>
      <c r="V42" s="1"/>
      <c r="W42" s="1"/>
      <c r="X42" s="1"/>
      <c r="Y42" s="1"/>
      <c r="Z42" s="1"/>
    </row>
    <row r="43" spans="1:26" ht="14.4" customHeight="1">
      <c r="A43" s="1"/>
      <c r="B43" s="624"/>
      <c r="C43" s="623" t="s">
        <v>51</v>
      </c>
      <c r="D43" s="634" t="s">
        <v>51</v>
      </c>
      <c r="E43" s="627"/>
      <c r="F43" s="624"/>
      <c r="G43" s="1"/>
      <c r="H43" s="1"/>
      <c r="I43" s="1"/>
      <c r="J43" s="1"/>
      <c r="K43" s="1"/>
      <c r="L43" s="1"/>
      <c r="M43" s="1"/>
      <c r="N43" s="1"/>
      <c r="O43" s="1"/>
      <c r="P43" s="1"/>
      <c r="Q43" s="1"/>
      <c r="R43" s="1"/>
      <c r="S43" s="1"/>
      <c r="T43" s="1"/>
      <c r="U43" s="1"/>
      <c r="V43" s="1"/>
      <c r="W43" s="1"/>
      <c r="X43" s="1"/>
      <c r="Y43" s="1"/>
      <c r="Z43" s="1"/>
    </row>
    <row r="44" spans="1:26" ht="14.4" customHeight="1">
      <c r="A44" s="1"/>
      <c r="B44" s="624"/>
      <c r="C44" s="624"/>
      <c r="D44" s="624"/>
      <c r="E44" s="624"/>
      <c r="F44" s="624"/>
      <c r="G44" s="1"/>
      <c r="H44" s="1"/>
      <c r="I44" s="1"/>
      <c r="J44" s="1"/>
      <c r="K44" s="1"/>
      <c r="L44" s="1"/>
      <c r="M44" s="1"/>
      <c r="N44" s="1"/>
      <c r="O44" s="1"/>
      <c r="P44" s="1"/>
      <c r="Q44" s="1"/>
      <c r="R44" s="1"/>
      <c r="S44" s="1"/>
      <c r="T44" s="1"/>
      <c r="U44" s="1"/>
      <c r="V44" s="1"/>
      <c r="W44" s="1"/>
      <c r="X44" s="1"/>
      <c r="Y44" s="1"/>
      <c r="Z44" s="1"/>
    </row>
    <row r="45" spans="1:26" ht="14.4" customHeight="1">
      <c r="A45" s="1"/>
      <c r="B45" s="624"/>
      <c r="C45" s="625"/>
      <c r="D45" s="625"/>
      <c r="E45" s="625"/>
      <c r="F45" s="624"/>
      <c r="G45" s="1"/>
      <c r="H45" s="1"/>
      <c r="I45" s="1"/>
      <c r="J45" s="1"/>
      <c r="K45" s="1"/>
      <c r="L45" s="1"/>
      <c r="M45" s="1"/>
      <c r="N45" s="1"/>
      <c r="O45" s="1"/>
      <c r="P45" s="1"/>
      <c r="Q45" s="1"/>
      <c r="R45" s="1"/>
      <c r="S45" s="1"/>
      <c r="T45" s="1"/>
      <c r="U45" s="1"/>
      <c r="V45" s="1"/>
      <c r="W45" s="1"/>
      <c r="X45" s="1"/>
      <c r="Y45" s="1"/>
      <c r="Z45" s="1"/>
    </row>
    <row r="46" spans="1:26" ht="14.4" customHeight="1">
      <c r="A46" s="1"/>
      <c r="B46" s="624"/>
      <c r="C46" s="623" t="s">
        <v>52</v>
      </c>
      <c r="D46" s="634" t="s">
        <v>52</v>
      </c>
      <c r="E46" s="627"/>
      <c r="F46" s="624"/>
      <c r="G46" s="1"/>
      <c r="H46" s="1"/>
      <c r="I46" s="1"/>
      <c r="J46" s="1"/>
      <c r="K46" s="1"/>
      <c r="L46" s="1"/>
      <c r="M46" s="1"/>
      <c r="N46" s="1"/>
      <c r="O46" s="1"/>
      <c r="P46" s="1"/>
      <c r="Q46" s="1"/>
      <c r="R46" s="1"/>
      <c r="S46" s="1"/>
      <c r="T46" s="1"/>
      <c r="U46" s="1"/>
      <c r="V46" s="1"/>
      <c r="W46" s="1"/>
      <c r="X46" s="1"/>
      <c r="Y46" s="1"/>
      <c r="Z46" s="1"/>
    </row>
    <row r="47" spans="1:26" ht="14.4" customHeight="1">
      <c r="A47" s="1"/>
      <c r="B47" s="624"/>
      <c r="C47" s="624"/>
      <c r="D47" s="624"/>
      <c r="E47" s="624"/>
      <c r="F47" s="624"/>
      <c r="G47" s="1"/>
      <c r="H47" s="1"/>
      <c r="I47" s="1"/>
      <c r="J47" s="1"/>
      <c r="K47" s="1"/>
      <c r="L47" s="1"/>
      <c r="M47" s="1"/>
      <c r="N47" s="1"/>
      <c r="O47" s="1"/>
      <c r="P47" s="1"/>
      <c r="Q47" s="1"/>
      <c r="R47" s="1"/>
      <c r="S47" s="1"/>
      <c r="T47" s="1"/>
      <c r="U47" s="1"/>
      <c r="V47" s="1"/>
      <c r="W47" s="1"/>
      <c r="X47" s="1"/>
      <c r="Y47" s="1"/>
      <c r="Z47" s="1"/>
    </row>
    <row r="48" spans="1:26" ht="14.4" customHeight="1">
      <c r="A48" s="1"/>
      <c r="B48" s="624"/>
      <c r="C48" s="624"/>
      <c r="D48" s="624"/>
      <c r="E48" s="625"/>
      <c r="F48" s="624"/>
      <c r="G48" s="1"/>
      <c r="H48" s="1"/>
      <c r="I48" s="1"/>
      <c r="J48" s="1"/>
      <c r="K48" s="1"/>
      <c r="L48" s="1"/>
      <c r="M48" s="1"/>
      <c r="N48" s="1"/>
      <c r="O48" s="1"/>
      <c r="P48" s="1"/>
      <c r="Q48" s="1"/>
      <c r="R48" s="1"/>
      <c r="S48" s="1"/>
      <c r="T48" s="1"/>
      <c r="U48" s="1"/>
      <c r="V48" s="1"/>
      <c r="W48" s="1"/>
      <c r="X48" s="1"/>
      <c r="Y48" s="1"/>
      <c r="Z48" s="1"/>
    </row>
    <row r="49" spans="1:26" ht="14.4" customHeight="1">
      <c r="A49" s="1"/>
      <c r="B49" s="624"/>
      <c r="C49" s="624"/>
      <c r="D49" s="624"/>
      <c r="E49" s="627"/>
      <c r="F49" s="624"/>
      <c r="G49" s="1"/>
      <c r="H49" s="1"/>
      <c r="I49" s="1"/>
      <c r="J49" s="1"/>
      <c r="K49" s="1"/>
      <c r="L49" s="1"/>
      <c r="M49" s="1"/>
      <c r="N49" s="1"/>
      <c r="O49" s="1"/>
      <c r="P49" s="1"/>
      <c r="Q49" s="1"/>
      <c r="R49" s="1"/>
      <c r="S49" s="1"/>
      <c r="T49" s="1"/>
      <c r="U49" s="1"/>
      <c r="V49" s="1"/>
      <c r="W49" s="1"/>
      <c r="X49" s="1"/>
      <c r="Y49" s="1"/>
      <c r="Z49" s="1"/>
    </row>
    <row r="50" spans="1:26" ht="14.4" customHeight="1">
      <c r="A50" s="1"/>
      <c r="B50" s="624"/>
      <c r="C50" s="624"/>
      <c r="D50" s="624"/>
      <c r="E50" s="624"/>
      <c r="F50" s="624"/>
      <c r="G50" s="1"/>
      <c r="H50" s="1"/>
      <c r="I50" s="1"/>
      <c r="J50" s="1"/>
      <c r="K50" s="1"/>
      <c r="L50" s="1"/>
      <c r="M50" s="1"/>
      <c r="N50" s="1"/>
      <c r="O50" s="1"/>
      <c r="P50" s="1"/>
      <c r="Q50" s="1"/>
      <c r="R50" s="1"/>
      <c r="S50" s="1"/>
      <c r="T50" s="1"/>
      <c r="U50" s="1"/>
      <c r="V50" s="1"/>
      <c r="W50" s="1"/>
      <c r="X50" s="1"/>
      <c r="Y50" s="1"/>
      <c r="Z50" s="1"/>
    </row>
    <row r="51" spans="1:26" ht="14.4" customHeight="1">
      <c r="A51" s="1"/>
      <c r="B51" s="624"/>
      <c r="C51" s="624"/>
      <c r="D51" s="624"/>
      <c r="E51" s="625"/>
      <c r="F51" s="624"/>
      <c r="G51" s="1"/>
      <c r="H51" s="1"/>
      <c r="I51" s="1"/>
      <c r="J51" s="1"/>
      <c r="K51" s="1"/>
      <c r="L51" s="1"/>
      <c r="M51" s="1"/>
      <c r="N51" s="1"/>
      <c r="O51" s="1"/>
      <c r="P51" s="1"/>
      <c r="Q51" s="1"/>
      <c r="R51" s="1"/>
      <c r="S51" s="1"/>
      <c r="T51" s="1"/>
      <c r="U51" s="1"/>
      <c r="V51" s="1"/>
      <c r="W51" s="1"/>
      <c r="X51" s="1"/>
      <c r="Y51" s="1"/>
      <c r="Z51" s="1"/>
    </row>
    <row r="52" spans="1:26" ht="14.4" customHeight="1">
      <c r="A52" s="1"/>
      <c r="B52" s="624"/>
      <c r="C52" s="624"/>
      <c r="D52" s="624"/>
      <c r="E52" s="627"/>
      <c r="F52" s="624"/>
      <c r="G52" s="1"/>
      <c r="H52" s="1"/>
      <c r="I52" s="1"/>
      <c r="J52" s="1"/>
      <c r="K52" s="1"/>
      <c r="L52" s="1"/>
      <c r="M52" s="1"/>
      <c r="N52" s="1"/>
      <c r="O52" s="1"/>
      <c r="P52" s="1"/>
      <c r="Q52" s="1"/>
      <c r="R52" s="1"/>
      <c r="S52" s="1"/>
      <c r="T52" s="1"/>
      <c r="U52" s="1"/>
      <c r="V52" s="1"/>
      <c r="W52" s="1"/>
      <c r="X52" s="1"/>
      <c r="Y52" s="1"/>
      <c r="Z52" s="1"/>
    </row>
    <row r="53" spans="1:26" ht="14.4" customHeight="1">
      <c r="A53" s="1"/>
      <c r="B53" s="625"/>
      <c r="C53" s="625"/>
      <c r="D53" s="625"/>
      <c r="E53" s="625"/>
      <c r="F53" s="625"/>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31.95" customHeight="1">
      <c r="A56" s="1"/>
      <c r="B56" s="619" t="s">
        <v>53</v>
      </c>
      <c r="C56" s="620"/>
      <c r="D56" s="620"/>
      <c r="E56" s="621"/>
      <c r="F56" s="1"/>
      <c r="G56" s="1"/>
      <c r="H56" s="1"/>
      <c r="I56" s="1"/>
      <c r="J56" s="1"/>
      <c r="K56" s="1"/>
      <c r="L56" s="1"/>
      <c r="M56" s="1"/>
      <c r="N56" s="1"/>
      <c r="O56" s="1"/>
      <c r="P56" s="1"/>
      <c r="Q56" s="1"/>
      <c r="R56" s="1"/>
      <c r="S56" s="1"/>
      <c r="T56" s="1"/>
      <c r="U56" s="1"/>
      <c r="V56" s="1"/>
      <c r="W56" s="1"/>
      <c r="X56" s="1"/>
      <c r="Y56" s="1"/>
      <c r="Z56" s="1"/>
    </row>
    <row r="57" spans="1:26" ht="16.2" customHeight="1" thickBot="1">
      <c r="A57" s="1"/>
      <c r="B57" s="29" t="s">
        <v>54</v>
      </c>
      <c r="C57" s="30" t="s">
        <v>55</v>
      </c>
      <c r="D57" s="31" t="s">
        <v>56</v>
      </c>
      <c r="E57" s="495" t="s">
        <v>57</v>
      </c>
      <c r="F57" s="1"/>
      <c r="G57" s="1"/>
      <c r="H57" s="1"/>
      <c r="I57" s="1"/>
      <c r="J57" s="1"/>
      <c r="K57" s="1"/>
      <c r="L57" s="1"/>
      <c r="M57" s="1"/>
      <c r="N57" s="1"/>
      <c r="O57" s="1"/>
      <c r="P57" s="1"/>
      <c r="Q57" s="1"/>
      <c r="R57" s="1"/>
      <c r="S57" s="1"/>
      <c r="T57" s="1"/>
      <c r="U57" s="1"/>
      <c r="V57" s="1"/>
      <c r="W57" s="1"/>
      <c r="X57" s="1"/>
      <c r="Y57" s="1"/>
      <c r="Z57" s="1"/>
    </row>
    <row r="58" spans="1:26" ht="96.9" customHeight="1">
      <c r="A58" s="1"/>
      <c r="B58" s="498" t="s">
        <v>58</v>
      </c>
      <c r="C58" s="499">
        <v>25</v>
      </c>
      <c r="D58" s="500" t="s">
        <v>59</v>
      </c>
      <c r="E58" s="496" t="s">
        <v>60</v>
      </c>
      <c r="F58" s="1"/>
      <c r="G58" s="1"/>
      <c r="H58" s="1"/>
      <c r="I58" s="1"/>
      <c r="J58" s="1"/>
      <c r="K58" s="1"/>
      <c r="L58" s="1"/>
      <c r="M58" s="1"/>
      <c r="N58" s="1"/>
      <c r="O58" s="1"/>
      <c r="P58" s="1"/>
      <c r="Q58" s="1"/>
      <c r="R58" s="1"/>
      <c r="S58" s="1"/>
      <c r="T58" s="1"/>
      <c r="U58" s="1"/>
      <c r="V58" s="1"/>
      <c r="W58" s="1"/>
      <c r="X58" s="1"/>
      <c r="Y58" s="1"/>
      <c r="Z58" s="1"/>
    </row>
    <row r="59" spans="1:26" ht="111.9" customHeight="1">
      <c r="A59" s="1"/>
      <c r="B59" s="501" t="s">
        <v>61</v>
      </c>
      <c r="C59" s="502">
        <v>60</v>
      </c>
      <c r="D59" s="503" t="s">
        <v>62</v>
      </c>
      <c r="E59" s="496" t="s">
        <v>60</v>
      </c>
      <c r="F59" s="1"/>
      <c r="G59" s="1"/>
      <c r="H59" s="1"/>
      <c r="I59" s="1"/>
      <c r="J59" s="1"/>
      <c r="K59" s="1"/>
      <c r="L59" s="1"/>
      <c r="M59" s="1"/>
      <c r="N59" s="1"/>
      <c r="O59" s="1"/>
      <c r="P59" s="1"/>
      <c r="Q59" s="1"/>
      <c r="R59" s="1"/>
      <c r="S59" s="1"/>
      <c r="T59" s="1"/>
      <c r="U59" s="1"/>
      <c r="V59" s="1"/>
      <c r="W59" s="1"/>
      <c r="X59" s="1"/>
      <c r="Y59" s="1"/>
      <c r="Z59" s="1"/>
    </row>
    <row r="60" spans="1:26" ht="68.099999999999994" customHeight="1" thickBot="1">
      <c r="A60" s="1"/>
      <c r="B60" s="504" t="s">
        <v>63</v>
      </c>
      <c r="C60" s="505">
        <v>250</v>
      </c>
      <c r="D60" s="506" t="s">
        <v>64</v>
      </c>
      <c r="E60" s="496" t="s">
        <v>60</v>
      </c>
      <c r="F60" s="1"/>
      <c r="G60" s="1"/>
      <c r="H60" s="1"/>
      <c r="I60" s="1"/>
      <c r="J60" s="1"/>
      <c r="K60" s="1"/>
      <c r="L60" s="1"/>
      <c r="M60" s="1"/>
      <c r="N60" s="1"/>
      <c r="O60" s="1"/>
      <c r="P60" s="1"/>
      <c r="Q60" s="1"/>
      <c r="R60" s="1"/>
      <c r="S60" s="1"/>
      <c r="T60" s="1"/>
      <c r="U60" s="1"/>
      <c r="V60" s="1"/>
      <c r="W60" s="1"/>
      <c r="X60" s="1"/>
      <c r="Y60" s="1"/>
      <c r="Z60" s="1"/>
    </row>
    <row r="61" spans="1:26" ht="111.9" customHeight="1" thickBot="1">
      <c r="A61" s="1"/>
      <c r="B61" s="507" t="s">
        <v>65</v>
      </c>
      <c r="C61" s="508">
        <v>15</v>
      </c>
      <c r="D61" s="509" t="s">
        <v>66</v>
      </c>
      <c r="E61" s="497" t="s">
        <v>67</v>
      </c>
      <c r="F61" s="1"/>
      <c r="G61" s="1"/>
      <c r="H61" s="1"/>
      <c r="I61" s="1"/>
      <c r="J61" s="1"/>
      <c r="K61" s="1"/>
      <c r="L61" s="1"/>
      <c r="M61" s="1"/>
      <c r="N61" s="1"/>
      <c r="O61" s="1"/>
      <c r="P61" s="1"/>
      <c r="Q61" s="1"/>
      <c r="R61" s="1"/>
      <c r="S61" s="1"/>
      <c r="T61" s="1"/>
      <c r="U61" s="1"/>
      <c r="V61" s="1"/>
      <c r="W61" s="1"/>
      <c r="X61" s="1"/>
      <c r="Y61" s="1"/>
      <c r="Z61" s="1"/>
    </row>
    <row r="62" spans="1:26" ht="111.9" customHeight="1" thickBot="1">
      <c r="A62" s="1"/>
      <c r="B62" s="507" t="s">
        <v>68</v>
      </c>
      <c r="C62" s="510">
        <v>29</v>
      </c>
      <c r="D62" s="509" t="s">
        <v>69</v>
      </c>
      <c r="E62" s="497" t="s">
        <v>67</v>
      </c>
      <c r="F62" s="1"/>
      <c r="G62" s="1"/>
      <c r="H62" s="1"/>
      <c r="I62" s="1"/>
      <c r="J62" s="1"/>
      <c r="K62" s="1"/>
      <c r="L62" s="1"/>
      <c r="M62" s="1"/>
      <c r="N62" s="1"/>
      <c r="O62" s="1"/>
      <c r="P62" s="1"/>
      <c r="Q62" s="1"/>
      <c r="R62" s="1"/>
      <c r="S62" s="1"/>
      <c r="T62" s="1"/>
      <c r="U62" s="1"/>
      <c r="V62" s="1"/>
      <c r="W62" s="1"/>
      <c r="X62" s="1"/>
      <c r="Y62" s="1"/>
      <c r="Z62" s="1"/>
    </row>
    <row r="63" spans="1:26" ht="81.900000000000006" customHeight="1">
      <c r="A63" s="1"/>
      <c r="B63" s="507" t="s">
        <v>70</v>
      </c>
      <c r="C63" s="510">
        <v>79</v>
      </c>
      <c r="D63" s="509" t="s">
        <v>71</v>
      </c>
      <c r="E63" s="497" t="s">
        <v>67</v>
      </c>
      <c r="F63" s="1"/>
      <c r="G63" s="1"/>
      <c r="H63" s="1"/>
      <c r="I63" s="1"/>
      <c r="J63" s="1"/>
      <c r="K63" s="1"/>
      <c r="L63" s="1"/>
      <c r="M63" s="1"/>
      <c r="N63" s="1"/>
      <c r="O63" s="1"/>
      <c r="P63" s="1"/>
      <c r="Q63" s="1"/>
      <c r="R63" s="1"/>
      <c r="S63" s="1"/>
      <c r="T63" s="1"/>
      <c r="U63" s="1"/>
      <c r="V63" s="1"/>
      <c r="W63" s="1"/>
      <c r="X63" s="1"/>
      <c r="Y63" s="1"/>
      <c r="Z63" s="1"/>
    </row>
    <row r="64" spans="1:26" ht="16.2" customHeight="1" thickBot="1">
      <c r="A64" s="1"/>
      <c r="B64" s="32"/>
      <c r="C64" s="33"/>
      <c r="D64" s="34"/>
      <c r="E64" s="1"/>
      <c r="F64" s="1"/>
      <c r="G64" s="1"/>
      <c r="H64" s="1"/>
      <c r="I64" s="1"/>
      <c r="J64" s="1"/>
      <c r="K64" s="1"/>
      <c r="L64" s="1"/>
      <c r="M64" s="1"/>
      <c r="N64" s="1"/>
      <c r="O64" s="1"/>
      <c r="P64" s="1"/>
      <c r="Q64" s="1"/>
      <c r="R64" s="1"/>
      <c r="S64" s="1"/>
      <c r="T64" s="1"/>
      <c r="U64" s="1"/>
      <c r="V64" s="1"/>
      <c r="W64" s="1"/>
      <c r="X64" s="1"/>
      <c r="Y64" s="1"/>
      <c r="Z64" s="1"/>
    </row>
    <row r="65" spans="1:26" ht="15.6" customHeight="1">
      <c r="A65" s="1"/>
      <c r="B65" s="35"/>
      <c r="C65" s="36"/>
      <c r="D65" s="37"/>
      <c r="E65" s="1"/>
      <c r="F65" s="1"/>
      <c r="G65" s="1"/>
      <c r="H65" s="1"/>
      <c r="I65" s="1"/>
      <c r="J65" s="1"/>
      <c r="K65" s="1"/>
      <c r="L65" s="1"/>
      <c r="M65" s="1"/>
      <c r="N65" s="1"/>
      <c r="O65" s="1"/>
      <c r="P65" s="1"/>
      <c r="Q65" s="1"/>
      <c r="R65" s="1"/>
      <c r="S65" s="1"/>
      <c r="T65" s="1"/>
      <c r="U65" s="1"/>
      <c r="V65" s="1"/>
      <c r="W65" s="1"/>
      <c r="X65" s="1"/>
      <c r="Y65" s="1"/>
      <c r="Z65" s="1"/>
    </row>
    <row r="66" spans="1:26" ht="15.6" customHeight="1">
      <c r="A66" s="1"/>
      <c r="B66" s="38"/>
      <c r="C66" s="39"/>
      <c r="D66" s="40"/>
      <c r="E66" s="1"/>
      <c r="F66" s="1"/>
      <c r="G66" s="1"/>
      <c r="H66" s="1"/>
      <c r="I66" s="1"/>
      <c r="J66" s="1"/>
      <c r="K66" s="1"/>
      <c r="L66" s="1"/>
      <c r="M66" s="1"/>
      <c r="N66" s="1"/>
      <c r="O66" s="1"/>
      <c r="P66" s="1"/>
      <c r="Q66" s="1"/>
      <c r="R66" s="1"/>
      <c r="S66" s="1"/>
      <c r="T66" s="1"/>
      <c r="U66" s="1"/>
      <c r="V66" s="1"/>
      <c r="W66" s="1"/>
      <c r="X66" s="1"/>
      <c r="Y66" s="1"/>
      <c r="Z66" s="1"/>
    </row>
    <row r="67" spans="1:26" ht="15.6" customHeight="1">
      <c r="A67" s="1"/>
      <c r="B67" s="38"/>
      <c r="C67" s="39"/>
      <c r="D67" s="40"/>
      <c r="E67" s="1"/>
      <c r="F67" s="1"/>
      <c r="G67" s="1"/>
      <c r="H67" s="1"/>
      <c r="I67" s="1"/>
      <c r="J67" s="1"/>
      <c r="K67" s="1"/>
      <c r="L67" s="1"/>
      <c r="M67" s="1"/>
      <c r="N67" s="1"/>
      <c r="O67" s="1"/>
      <c r="P67" s="1"/>
      <c r="Q67" s="1"/>
      <c r="R67" s="1"/>
      <c r="S67" s="1"/>
      <c r="T67" s="1"/>
      <c r="U67" s="1"/>
      <c r="V67" s="1"/>
      <c r="W67" s="1"/>
      <c r="X67" s="1"/>
      <c r="Y67" s="1"/>
      <c r="Z67" s="1"/>
    </row>
    <row r="68" spans="1:26" ht="15.6" customHeight="1">
      <c r="A68" s="1"/>
      <c r="B68" s="38"/>
      <c r="C68" s="39"/>
      <c r="D68" s="40"/>
      <c r="E68" s="1"/>
      <c r="F68" s="1"/>
      <c r="G68" s="1"/>
      <c r="H68" s="1"/>
      <c r="I68" s="1"/>
      <c r="J68" s="1"/>
      <c r="K68" s="1"/>
      <c r="L68" s="1"/>
      <c r="M68" s="1"/>
      <c r="N68" s="1"/>
      <c r="O68" s="1"/>
      <c r="P68" s="1"/>
      <c r="Q68" s="1"/>
      <c r="R68" s="1"/>
      <c r="S68" s="1"/>
      <c r="T68" s="1"/>
      <c r="U68" s="1"/>
      <c r="V68" s="1"/>
      <c r="W68" s="1"/>
      <c r="X68" s="1"/>
      <c r="Y68" s="1"/>
      <c r="Z68" s="1"/>
    </row>
    <row r="69" spans="1:26" ht="16.2" customHeight="1" thickBot="1">
      <c r="A69" s="1"/>
      <c r="B69" s="41"/>
      <c r="C69" s="42"/>
      <c r="D69" s="43"/>
      <c r="E69" s="1"/>
      <c r="F69" s="1"/>
      <c r="G69" s="1"/>
      <c r="H69" s="1"/>
      <c r="I69" s="1"/>
      <c r="J69" s="1"/>
      <c r="K69" s="1"/>
      <c r="L69" s="1"/>
      <c r="M69" s="1"/>
      <c r="N69" s="1"/>
      <c r="O69" s="1"/>
      <c r="P69" s="1"/>
      <c r="Q69" s="1"/>
      <c r="R69" s="1"/>
      <c r="S69" s="1"/>
      <c r="T69" s="1"/>
      <c r="U69" s="1"/>
      <c r="V69" s="1"/>
      <c r="W69" s="1"/>
      <c r="X69" s="1"/>
      <c r="Y69" s="1"/>
      <c r="Z69" s="1"/>
    </row>
    <row r="70" spans="1:26" ht="16.2" customHeight="1" thickBot="1">
      <c r="A70" s="1"/>
      <c r="B70" s="44"/>
      <c r="C70" s="45"/>
      <c r="D70" s="46"/>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sheetData>
  <mergeCells count="25">
    <mergeCell ref="B4:E4"/>
    <mergeCell ref="E43:E45"/>
    <mergeCell ref="B16:E16"/>
    <mergeCell ref="B7:E7"/>
    <mergeCell ref="B3:E3"/>
    <mergeCell ref="B31:E31"/>
    <mergeCell ref="D40:D42"/>
    <mergeCell ref="B8:E8"/>
    <mergeCell ref="B33:F33"/>
    <mergeCell ref="C36:F38"/>
    <mergeCell ref="C43:C45"/>
    <mergeCell ref="A22:D22"/>
    <mergeCell ref="D43:D45"/>
    <mergeCell ref="B15:E15"/>
    <mergeCell ref="B40:B53"/>
    <mergeCell ref="D46:D53"/>
    <mergeCell ref="B56:E56"/>
    <mergeCell ref="B35:F35"/>
    <mergeCell ref="C46:C53"/>
    <mergeCell ref="F40:F53"/>
    <mergeCell ref="C40:C42"/>
    <mergeCell ref="E49:E51"/>
    <mergeCell ref="E46:E48"/>
    <mergeCell ref="E40:E42"/>
    <mergeCell ref="E52:E53"/>
  </mergeCell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398"/>
  <sheetViews>
    <sheetView workbookViewId="0">
      <pane xSplit="2" ySplit="1" topLeftCell="C2" activePane="bottomRight" state="frozen"/>
      <selection pane="topRight"/>
      <selection pane="bottomLeft" activeCell="A2" sqref="A2"/>
      <selection pane="bottomRight" activeCell="W176" sqref="W176:X176"/>
    </sheetView>
  </sheetViews>
  <sheetFormatPr defaultColWidth="12.59765625" defaultRowHeight="15" customHeight="1"/>
  <cols>
    <col min="1" max="1" width="39" customWidth="1"/>
    <col min="2" max="2" width="30.59765625" customWidth="1"/>
    <col min="3" max="3" width="25" customWidth="1"/>
    <col min="4" max="4" width="32.59765625" customWidth="1"/>
    <col min="5" max="5" width="13.59765625" customWidth="1"/>
    <col min="6" max="6" width="22.09765625" customWidth="1"/>
    <col min="7" max="7" width="14" customWidth="1"/>
    <col min="8" max="8" width="19.59765625" customWidth="1"/>
    <col min="9" max="9" width="17.09765625" customWidth="1"/>
    <col min="10" max="10" width="20.09765625" customWidth="1"/>
    <col min="11" max="11" width="14" customWidth="1"/>
    <col min="12" max="12" width="19.59765625" customWidth="1"/>
    <col min="13" max="13" width="14.5" customWidth="1"/>
    <col min="14" max="14" width="19.5" customWidth="1"/>
    <col min="15" max="15" width="15.09765625" customWidth="1"/>
    <col min="16" max="16" width="21.69921875" customWidth="1"/>
    <col min="17" max="17" width="14" customWidth="1"/>
    <col min="18" max="18" width="21.5" customWidth="1"/>
    <col min="19" max="19" width="14.19921875" customWidth="1"/>
    <col min="20" max="20" width="21.19921875" customWidth="1"/>
    <col min="21" max="21" width="14" customWidth="1"/>
    <col min="22" max="22" width="19.5" customWidth="1"/>
    <col min="23" max="23" width="17" customWidth="1"/>
    <col min="24" max="24" width="21.09765625" customWidth="1"/>
    <col min="25" max="25" width="14.5" customWidth="1"/>
    <col min="26" max="26" width="18.59765625" customWidth="1"/>
    <col min="27" max="27" width="16.59765625" customWidth="1"/>
    <col min="28" max="28" width="21" customWidth="1"/>
    <col min="29" max="29" width="16.3984375" customWidth="1"/>
    <col min="30" max="44" width="10" customWidth="1"/>
  </cols>
  <sheetData>
    <row r="1" spans="1:44" ht="61.2" customHeight="1">
      <c r="A1" s="47"/>
      <c r="B1" s="48" t="s">
        <v>8</v>
      </c>
      <c r="C1" s="47"/>
      <c r="D1" s="47"/>
      <c r="E1" s="47"/>
      <c r="F1" s="47"/>
      <c r="G1" s="49"/>
      <c r="H1" s="49"/>
      <c r="I1" s="49"/>
      <c r="J1" s="49"/>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1"/>
    </row>
    <row r="2" spans="1:44" ht="14.4"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14.4"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4.4"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spans="1:44" ht="25.95" customHeight="1">
      <c r="A5" s="1"/>
      <c r="B5" s="622" t="s">
        <v>72</v>
      </c>
      <c r="C5" s="620"/>
      <c r="D5" s="621"/>
      <c r="E5" s="1"/>
      <c r="F5" s="1"/>
      <c r="G5" s="622" t="s">
        <v>73</v>
      </c>
      <c r="H5" s="620"/>
      <c r="I5" s="620"/>
      <c r="J5" s="620"/>
      <c r="K5" s="620"/>
      <c r="L5" s="621"/>
      <c r="M5" s="25"/>
      <c r="N5" s="25"/>
      <c r="O5" s="25"/>
      <c r="P5" s="25"/>
      <c r="Q5" s="25"/>
      <c r="R5" s="25"/>
      <c r="S5" s="25"/>
      <c r="T5" s="25"/>
      <c r="U5" s="25"/>
      <c r="V5" s="1"/>
      <c r="W5" s="1"/>
      <c r="X5" s="1"/>
      <c r="Y5" s="1"/>
      <c r="Z5" s="1"/>
      <c r="AA5" s="1"/>
      <c r="AB5" s="1"/>
      <c r="AC5" s="1"/>
      <c r="AD5" s="1"/>
      <c r="AE5" s="1"/>
      <c r="AF5" s="1"/>
      <c r="AG5" s="1"/>
      <c r="AH5" s="1"/>
      <c r="AI5" s="1"/>
      <c r="AJ5" s="1"/>
      <c r="AK5" s="1"/>
      <c r="AL5" s="1"/>
      <c r="AM5" s="1"/>
      <c r="AN5" s="1"/>
      <c r="AO5" s="1"/>
      <c r="AP5" s="1"/>
      <c r="AQ5" s="1"/>
      <c r="AR5" s="1"/>
    </row>
    <row r="6" spans="1:44" ht="14.4" customHeight="1">
      <c r="A6" s="50"/>
      <c r="B6" s="51">
        <v>2026</v>
      </c>
      <c r="C6" s="52">
        <v>2027</v>
      </c>
      <c r="D6" s="53">
        <v>2028</v>
      </c>
      <c r="E6" s="1"/>
      <c r="F6" s="1"/>
      <c r="G6" s="696" t="s">
        <v>74</v>
      </c>
      <c r="H6" s="636"/>
      <c r="I6" s="636"/>
      <c r="J6" s="636"/>
      <c r="K6" s="636"/>
      <c r="L6" s="637"/>
      <c r="M6" s="54"/>
      <c r="N6" s="54"/>
      <c r="O6" s="54"/>
      <c r="P6" s="54"/>
      <c r="Q6" s="54"/>
      <c r="R6" s="54"/>
      <c r="S6" s="54"/>
      <c r="T6" s="54"/>
      <c r="U6" s="54"/>
      <c r="V6" s="1"/>
      <c r="W6" s="1"/>
      <c r="X6" s="1"/>
      <c r="Y6" s="1"/>
      <c r="Z6" s="1"/>
      <c r="AA6" s="1"/>
      <c r="AB6" s="1"/>
      <c r="AC6" s="1"/>
      <c r="AD6" s="1"/>
      <c r="AE6" s="1"/>
      <c r="AF6" s="1"/>
      <c r="AG6" s="1"/>
      <c r="AH6" s="1"/>
      <c r="AI6" s="1"/>
      <c r="AJ6" s="1"/>
      <c r="AK6" s="1"/>
      <c r="AL6" s="1"/>
      <c r="AM6" s="1"/>
      <c r="AN6" s="1"/>
      <c r="AO6" s="1"/>
      <c r="AP6" s="1"/>
      <c r="AQ6" s="1"/>
      <c r="AR6" s="1"/>
    </row>
    <row r="7" spans="1:44" ht="14.4" customHeight="1">
      <c r="A7" s="50"/>
      <c r="B7" s="55">
        <f>Hipótesis!C24</f>
        <v>0.03</v>
      </c>
      <c r="C7" s="56">
        <f>Hipótesis!C25</f>
        <v>0.08</v>
      </c>
      <c r="D7" s="57">
        <f>Hipótesis!C26</f>
        <v>0.15</v>
      </c>
      <c r="E7" s="1"/>
      <c r="F7" s="1"/>
      <c r="G7" s="638"/>
      <c r="H7" s="633"/>
      <c r="I7" s="633"/>
      <c r="J7" s="633"/>
      <c r="K7" s="633"/>
      <c r="L7" s="639"/>
      <c r="M7" s="54"/>
      <c r="N7" s="54"/>
      <c r="O7" s="54"/>
      <c r="P7" s="54"/>
      <c r="Q7" s="54"/>
      <c r="R7" s="54"/>
      <c r="S7" s="54"/>
      <c r="T7" s="54"/>
      <c r="U7" s="54"/>
      <c r="V7" s="1"/>
      <c r="W7" s="1"/>
      <c r="X7" s="1"/>
      <c r="Y7" s="1"/>
      <c r="Z7" s="1"/>
      <c r="AA7" s="1"/>
      <c r="AB7" s="1"/>
      <c r="AC7" s="1"/>
      <c r="AD7" s="1"/>
      <c r="AE7" s="1"/>
      <c r="AF7" s="1"/>
      <c r="AG7" s="1"/>
      <c r="AH7" s="1"/>
      <c r="AI7" s="1"/>
      <c r="AJ7" s="1"/>
      <c r="AK7" s="1"/>
      <c r="AL7" s="1"/>
      <c r="AM7" s="1"/>
      <c r="AN7" s="1"/>
      <c r="AO7" s="1"/>
      <c r="AP7" s="1"/>
      <c r="AQ7" s="1"/>
      <c r="AR7" s="1"/>
    </row>
    <row r="8" spans="1:44" ht="14.4" customHeight="1">
      <c r="A8" s="50"/>
      <c r="B8" s="58">
        <f>Hipótesis!D24</f>
        <v>48960</v>
      </c>
      <c r="C8" s="59">
        <f>Hipótesis!D25</f>
        <v>130560</v>
      </c>
      <c r="D8" s="60">
        <f>Hipótesis!D26</f>
        <v>244800</v>
      </c>
      <c r="E8" s="1"/>
      <c r="F8" s="1"/>
      <c r="G8" s="638"/>
      <c r="H8" s="633"/>
      <c r="I8" s="633"/>
      <c r="J8" s="633"/>
      <c r="K8" s="633"/>
      <c r="L8" s="639"/>
      <c r="M8" s="54"/>
      <c r="N8" s="54"/>
      <c r="O8" s="54"/>
      <c r="P8" s="54"/>
      <c r="Q8" s="54"/>
      <c r="R8" s="54"/>
      <c r="S8" s="54"/>
      <c r="T8" s="54"/>
      <c r="U8" s="54"/>
      <c r="V8" s="1"/>
      <c r="W8" s="1"/>
      <c r="X8" s="1"/>
      <c r="Y8" s="1"/>
      <c r="Z8" s="1"/>
      <c r="AA8" s="1"/>
      <c r="AB8" s="1"/>
      <c r="AC8" s="1"/>
      <c r="AD8" s="1"/>
      <c r="AE8" s="1"/>
      <c r="AF8" s="1"/>
      <c r="AG8" s="1"/>
      <c r="AH8" s="1"/>
      <c r="AI8" s="1"/>
      <c r="AJ8" s="1"/>
      <c r="AK8" s="1"/>
      <c r="AL8" s="1"/>
      <c r="AM8" s="1"/>
      <c r="AN8" s="1"/>
      <c r="AO8" s="1"/>
      <c r="AP8" s="1"/>
      <c r="AQ8" s="1"/>
      <c r="AR8" s="1"/>
    </row>
    <row r="9" spans="1:44" ht="14.4" customHeight="1">
      <c r="A9" s="1"/>
      <c r="B9" s="1"/>
      <c r="C9" s="1"/>
      <c r="D9" s="1"/>
      <c r="E9" s="1"/>
      <c r="F9" s="1"/>
      <c r="G9" s="638"/>
      <c r="H9" s="633"/>
      <c r="I9" s="633"/>
      <c r="J9" s="633"/>
      <c r="K9" s="633"/>
      <c r="L9" s="639"/>
      <c r="M9" s="54"/>
      <c r="N9" s="54"/>
      <c r="O9" s="54"/>
      <c r="P9" s="54"/>
      <c r="Q9" s="54"/>
      <c r="R9" s="54"/>
      <c r="S9" s="54"/>
      <c r="T9" s="54"/>
      <c r="U9" s="54"/>
      <c r="V9" s="1"/>
      <c r="W9" s="1"/>
      <c r="X9" s="1"/>
      <c r="Y9" s="1"/>
      <c r="Z9" s="1"/>
      <c r="AA9" s="1"/>
      <c r="AB9" s="1"/>
      <c r="AC9" s="1"/>
      <c r="AD9" s="1"/>
      <c r="AE9" s="1"/>
      <c r="AF9" s="1"/>
      <c r="AG9" s="1"/>
      <c r="AH9" s="1"/>
      <c r="AI9" s="1"/>
      <c r="AJ9" s="1"/>
      <c r="AK9" s="1"/>
      <c r="AL9" s="1"/>
      <c r="AM9" s="1"/>
      <c r="AN9" s="1"/>
      <c r="AO9" s="1"/>
      <c r="AP9" s="1"/>
      <c r="AQ9" s="1"/>
      <c r="AR9" s="1"/>
    </row>
    <row r="10" spans="1:44" ht="14.4" customHeight="1">
      <c r="A10" s="1" t="s">
        <v>75</v>
      </c>
      <c r="B10" s="1"/>
      <c r="C10" s="1"/>
      <c r="D10" s="1"/>
      <c r="E10" s="1"/>
      <c r="F10" s="1"/>
      <c r="G10" s="638"/>
      <c r="H10" s="633"/>
      <c r="I10" s="633"/>
      <c r="J10" s="633"/>
      <c r="K10" s="633"/>
      <c r="L10" s="639"/>
      <c r="M10" s="54"/>
      <c r="N10" s="54"/>
      <c r="O10" s="54"/>
      <c r="P10" s="54"/>
      <c r="Q10" s="54"/>
      <c r="R10" s="54"/>
      <c r="S10" s="54"/>
      <c r="T10" s="54"/>
      <c r="U10" s="54"/>
      <c r="V10" s="1"/>
      <c r="W10" s="1"/>
      <c r="X10" s="1"/>
      <c r="Y10" s="1"/>
      <c r="Z10" s="1"/>
      <c r="AA10" s="1"/>
      <c r="AB10" s="1"/>
      <c r="AC10" s="1"/>
      <c r="AD10" s="1"/>
      <c r="AE10" s="1"/>
      <c r="AF10" s="1"/>
      <c r="AG10" s="1"/>
      <c r="AH10" s="1"/>
      <c r="AI10" s="1"/>
      <c r="AJ10" s="1"/>
      <c r="AK10" s="1"/>
      <c r="AL10" s="1"/>
      <c r="AM10" s="1"/>
      <c r="AN10" s="1"/>
      <c r="AO10" s="1"/>
      <c r="AP10" s="1"/>
      <c r="AQ10" s="1"/>
      <c r="AR10" s="1"/>
    </row>
    <row r="11" spans="1:44" ht="14.4" customHeight="1">
      <c r="A11" s="1"/>
      <c r="B11" s="1"/>
      <c r="C11" s="1"/>
      <c r="D11" s="1"/>
      <c r="E11" s="1"/>
      <c r="F11" s="1"/>
      <c r="G11" s="638"/>
      <c r="H11" s="633"/>
      <c r="I11" s="633"/>
      <c r="J11" s="633"/>
      <c r="K11" s="633"/>
      <c r="L11" s="639"/>
      <c r="M11" s="54"/>
      <c r="N11" s="54"/>
      <c r="O11" s="54"/>
      <c r="P11" s="54"/>
      <c r="Q11" s="54"/>
      <c r="R11" s="54"/>
      <c r="S11" s="54"/>
      <c r="T11" s="54"/>
      <c r="U11" s="54"/>
      <c r="V11" s="1"/>
      <c r="W11" s="1"/>
      <c r="X11" s="1"/>
      <c r="Y11" s="1"/>
      <c r="Z11" s="1"/>
      <c r="AA11" s="1"/>
      <c r="AB11" s="1"/>
      <c r="AC11" s="1"/>
      <c r="AD11" s="1"/>
      <c r="AE11" s="1"/>
      <c r="AF11" s="1"/>
      <c r="AG11" s="1"/>
      <c r="AH11" s="1"/>
      <c r="AI11" s="1"/>
      <c r="AJ11" s="1"/>
      <c r="AK11" s="1"/>
      <c r="AL11" s="1"/>
      <c r="AM11" s="1"/>
      <c r="AN11" s="1"/>
      <c r="AO11" s="1"/>
      <c r="AP11" s="1"/>
      <c r="AQ11" s="1"/>
      <c r="AR11" s="1"/>
    </row>
    <row r="12" spans="1:44" ht="72" customHeight="1">
      <c r="A12" s="61"/>
      <c r="B12" s="1"/>
      <c r="C12" s="1"/>
      <c r="D12" s="1"/>
      <c r="E12" s="1"/>
      <c r="F12" s="1"/>
      <c r="G12" s="640"/>
      <c r="H12" s="641"/>
      <c r="I12" s="641"/>
      <c r="J12" s="641"/>
      <c r="K12" s="641"/>
      <c r="L12" s="642"/>
      <c r="M12" s="54"/>
      <c r="N12" s="54"/>
      <c r="O12" s="54"/>
      <c r="P12" s="54"/>
      <c r="Q12" s="54"/>
      <c r="R12" s="54"/>
      <c r="S12" s="54"/>
      <c r="T12" s="54"/>
      <c r="U12" s="54"/>
      <c r="V12" s="1"/>
      <c r="W12" s="1"/>
      <c r="X12" s="1"/>
      <c r="Y12" s="1"/>
      <c r="Z12" s="1"/>
      <c r="AA12" s="1"/>
      <c r="AB12" s="1"/>
      <c r="AC12" s="1"/>
      <c r="AD12" s="1"/>
      <c r="AE12" s="1"/>
      <c r="AF12" s="1"/>
      <c r="AG12" s="1"/>
      <c r="AH12" s="1"/>
      <c r="AI12" s="1"/>
      <c r="AJ12" s="1"/>
      <c r="AK12" s="1"/>
      <c r="AL12" s="1"/>
      <c r="AM12" s="1"/>
      <c r="AN12" s="1"/>
      <c r="AO12" s="1"/>
      <c r="AP12" s="1"/>
      <c r="AQ12" s="1"/>
      <c r="AR12" s="1"/>
    </row>
    <row r="13" spans="1:44" ht="14.4"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row>
    <row r="14" spans="1:44" ht="18" customHeight="1">
      <c r="A14" s="1"/>
      <c r="B14" s="1"/>
      <c r="C14" s="1"/>
      <c r="D14" s="1"/>
      <c r="E14" s="1"/>
      <c r="F14" s="62"/>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row>
    <row r="15" spans="1:44" ht="25.95" customHeight="1">
      <c r="A15" s="681" t="s">
        <v>76</v>
      </c>
      <c r="B15" s="620"/>
      <c r="C15" s="620"/>
      <c r="D15" s="620"/>
      <c r="E15" s="620"/>
      <c r="F15" s="620"/>
      <c r="G15" s="620"/>
      <c r="H15" s="620"/>
      <c r="I15" s="620"/>
      <c r="J15" s="620"/>
      <c r="K15" s="620"/>
      <c r="L15" s="620"/>
      <c r="M15" s="620"/>
      <c r="N15" s="620"/>
      <c r="O15" s="620"/>
      <c r="P15" s="620"/>
      <c r="Q15" s="620"/>
      <c r="R15" s="620"/>
      <c r="S15" s="620"/>
      <c r="T15" s="620"/>
      <c r="U15" s="620"/>
      <c r="V15" s="620"/>
      <c r="W15" s="620"/>
      <c r="X15" s="620"/>
      <c r="Y15" s="620"/>
      <c r="Z15" s="620"/>
      <c r="AA15" s="620"/>
      <c r="AB15" s="621"/>
      <c r="AC15" s="1"/>
      <c r="AD15" s="1"/>
      <c r="AE15" s="1"/>
      <c r="AF15" s="1"/>
      <c r="AG15" s="1"/>
      <c r="AH15" s="1"/>
      <c r="AI15" s="1"/>
      <c r="AJ15" s="1"/>
      <c r="AK15" s="1"/>
      <c r="AL15" s="1"/>
      <c r="AM15" s="1"/>
      <c r="AN15" s="1"/>
      <c r="AO15" s="1"/>
      <c r="AP15" s="1"/>
      <c r="AQ15" s="1"/>
      <c r="AR15" s="1"/>
    </row>
    <row r="16" spans="1:44" ht="14.4" customHeight="1">
      <c r="A16" s="670" t="s">
        <v>77</v>
      </c>
      <c r="B16" s="670" t="s">
        <v>55</v>
      </c>
      <c r="C16" s="679" t="s">
        <v>78</v>
      </c>
      <c r="D16" s="652"/>
      <c r="E16" s="651" t="s">
        <v>79</v>
      </c>
      <c r="F16" s="652"/>
      <c r="G16" s="651" t="s">
        <v>80</v>
      </c>
      <c r="H16" s="652"/>
      <c r="I16" s="651" t="s">
        <v>81</v>
      </c>
      <c r="J16" s="652"/>
      <c r="K16" s="651" t="s">
        <v>82</v>
      </c>
      <c r="L16" s="652"/>
      <c r="M16" s="651" t="s">
        <v>83</v>
      </c>
      <c r="N16" s="652"/>
      <c r="O16" s="651" t="s">
        <v>84</v>
      </c>
      <c r="P16" s="652"/>
      <c r="Q16" s="651" t="s">
        <v>85</v>
      </c>
      <c r="R16" s="652"/>
      <c r="S16" s="651" t="s">
        <v>86</v>
      </c>
      <c r="T16" s="652"/>
      <c r="U16" s="651" t="s">
        <v>87</v>
      </c>
      <c r="V16" s="652"/>
      <c r="W16" s="651" t="s">
        <v>88</v>
      </c>
      <c r="X16" s="652"/>
      <c r="Y16" s="651" t="s">
        <v>89</v>
      </c>
      <c r="Z16" s="652"/>
      <c r="AA16" s="651" t="s">
        <v>90</v>
      </c>
      <c r="AB16" s="652"/>
      <c r="AC16" s="1"/>
      <c r="AD16" s="1"/>
      <c r="AE16" s="1"/>
      <c r="AF16" s="1"/>
      <c r="AG16" s="1"/>
      <c r="AH16" s="1"/>
      <c r="AI16" s="1"/>
      <c r="AJ16" s="1"/>
      <c r="AK16" s="1"/>
      <c r="AL16" s="1"/>
      <c r="AM16" s="1"/>
      <c r="AN16" s="1"/>
      <c r="AO16" s="1"/>
      <c r="AP16" s="1"/>
      <c r="AQ16" s="1"/>
      <c r="AR16" s="1"/>
    </row>
    <row r="17" spans="1:44" ht="14.4" customHeight="1">
      <c r="A17" s="671"/>
      <c r="B17" s="671"/>
      <c r="C17" s="685" t="s">
        <v>34</v>
      </c>
      <c r="D17" s="705" t="s">
        <v>91</v>
      </c>
      <c r="E17" s="657">
        <f>F32/$D$32</f>
        <v>0</v>
      </c>
      <c r="F17" s="649"/>
      <c r="G17" s="657">
        <f>H32/$D$32</f>
        <v>6.1831951301346885E-3</v>
      </c>
      <c r="H17" s="649"/>
      <c r="I17" s="657">
        <f>J32/$D$32</f>
        <v>1.6824042563389732E-2</v>
      </c>
      <c r="J17" s="649"/>
      <c r="K17" s="657">
        <f>L32/$D$32</f>
        <v>2.7896275703398362E-2</v>
      </c>
      <c r="L17" s="649"/>
      <c r="M17" s="657">
        <f>N32/$D$32</f>
        <v>5.4929779993289553E-2</v>
      </c>
      <c r="N17" s="649"/>
      <c r="O17" s="657">
        <f>P32/$D$32</f>
        <v>6.9021713080573269E-2</v>
      </c>
      <c r="P17" s="649"/>
      <c r="Q17" s="657">
        <f>R32/$D$32</f>
        <v>8.6181277860326894E-2</v>
      </c>
      <c r="R17" s="649"/>
      <c r="S17" s="657">
        <f>T32/$D$32</f>
        <v>0.10473086325073096</v>
      </c>
      <c r="T17" s="649"/>
      <c r="U17" s="657">
        <f>V32/$D$32</f>
        <v>0.12232181373723817</v>
      </c>
      <c r="V17" s="649"/>
      <c r="W17" s="657">
        <f>X32/$D$32</f>
        <v>0.14298039591621531</v>
      </c>
      <c r="X17" s="649"/>
      <c r="Y17" s="657">
        <f>Z32/$D$32</f>
        <v>0.1607630733835019</v>
      </c>
      <c r="Z17" s="649"/>
      <c r="AA17" s="657">
        <f>AB32/$D$32</f>
        <v>0.20816756938120118</v>
      </c>
      <c r="AB17" s="649"/>
      <c r="AC17" s="1"/>
      <c r="AD17" s="1"/>
      <c r="AE17" s="1"/>
      <c r="AF17" s="1"/>
      <c r="AG17" s="1"/>
      <c r="AH17" s="1"/>
      <c r="AI17" s="1"/>
      <c r="AJ17" s="1"/>
      <c r="AK17" s="1"/>
      <c r="AL17" s="1"/>
      <c r="AM17" s="1"/>
      <c r="AN17" s="1"/>
      <c r="AO17" s="1"/>
      <c r="AP17" s="1"/>
      <c r="AQ17" s="1"/>
      <c r="AR17" s="1"/>
    </row>
    <row r="18" spans="1:44" ht="14.4" customHeight="1">
      <c r="A18" s="671"/>
      <c r="B18" s="671"/>
      <c r="C18" s="686"/>
      <c r="D18" s="706"/>
      <c r="E18" s="63" t="s">
        <v>34</v>
      </c>
      <c r="F18" s="64" t="s">
        <v>91</v>
      </c>
      <c r="G18" s="65" t="s">
        <v>34</v>
      </c>
      <c r="H18" s="66" t="s">
        <v>91</v>
      </c>
      <c r="I18" s="65" t="s">
        <v>34</v>
      </c>
      <c r="J18" s="66" t="s">
        <v>91</v>
      </c>
      <c r="K18" s="65" t="s">
        <v>34</v>
      </c>
      <c r="L18" s="66" t="s">
        <v>91</v>
      </c>
      <c r="M18" s="65" t="s">
        <v>34</v>
      </c>
      <c r="N18" s="66" t="s">
        <v>91</v>
      </c>
      <c r="O18" s="65" t="s">
        <v>34</v>
      </c>
      <c r="P18" s="66" t="s">
        <v>91</v>
      </c>
      <c r="Q18" s="65" t="s">
        <v>34</v>
      </c>
      <c r="R18" s="66" t="s">
        <v>91</v>
      </c>
      <c r="S18" s="65" t="s">
        <v>34</v>
      </c>
      <c r="T18" s="66" t="s">
        <v>91</v>
      </c>
      <c r="U18" s="65" t="s">
        <v>34</v>
      </c>
      <c r="V18" s="66" t="s">
        <v>91</v>
      </c>
      <c r="W18" s="65" t="s">
        <v>34</v>
      </c>
      <c r="X18" s="66" t="s">
        <v>91</v>
      </c>
      <c r="Y18" s="65" t="s">
        <v>34</v>
      </c>
      <c r="Z18" s="66" t="s">
        <v>91</v>
      </c>
      <c r="AA18" s="65" t="s">
        <v>34</v>
      </c>
      <c r="AB18" s="66" t="s">
        <v>91</v>
      </c>
      <c r="AC18" s="1"/>
      <c r="AD18" s="1"/>
      <c r="AE18" s="1"/>
      <c r="AF18" s="1"/>
      <c r="AG18" s="1"/>
      <c r="AH18" s="1"/>
      <c r="AI18" s="1"/>
      <c r="AJ18" s="1"/>
      <c r="AK18" s="1"/>
      <c r="AL18" s="1"/>
      <c r="AM18" s="1"/>
      <c r="AN18" s="1"/>
      <c r="AO18" s="1"/>
      <c r="AP18" s="1"/>
      <c r="AQ18" s="1"/>
      <c r="AR18" s="1"/>
    </row>
    <row r="19" spans="1:44" ht="15.6" customHeight="1">
      <c r="A19" s="67" t="str">
        <f>Hipótesis!$B$58</f>
        <v>Alta e instalación Plan Básico</v>
      </c>
      <c r="B19" s="68">
        <f>Hipótesis!C58</f>
        <v>25</v>
      </c>
      <c r="C19" s="69">
        <f t="shared" ref="C19:C24" si="0">E19+G19+I19+K19+M19+O19+Q19+S19+U19+W19+Y19+AA19</f>
        <v>30</v>
      </c>
      <c r="D19" s="70">
        <f t="shared" ref="D19:D24" si="1">B19*C19</f>
        <v>750</v>
      </c>
      <c r="E19" s="71">
        <v>0</v>
      </c>
      <c r="F19" s="72">
        <f>E19*$B$19</f>
        <v>0</v>
      </c>
      <c r="G19" s="71">
        <v>1</v>
      </c>
      <c r="H19" s="72">
        <f>G19*$B$19</f>
        <v>25</v>
      </c>
      <c r="I19" s="71">
        <v>1</v>
      </c>
      <c r="J19" s="72">
        <f>I19*$B$19</f>
        <v>25</v>
      </c>
      <c r="K19" s="71">
        <v>2</v>
      </c>
      <c r="L19" s="72">
        <f>K19*$B$19</f>
        <v>50</v>
      </c>
      <c r="M19" s="71">
        <v>2</v>
      </c>
      <c r="N19" s="72">
        <f>M19*$B$19</f>
        <v>50</v>
      </c>
      <c r="O19" s="71">
        <v>3</v>
      </c>
      <c r="P19" s="72">
        <f>O19*$B$19</f>
        <v>75</v>
      </c>
      <c r="Q19" s="71">
        <v>3</v>
      </c>
      <c r="R19" s="72">
        <f>Q19*$B$19</f>
        <v>75</v>
      </c>
      <c r="S19" s="71">
        <v>3</v>
      </c>
      <c r="T19" s="72">
        <f>S19*$B$19</f>
        <v>75</v>
      </c>
      <c r="U19" s="71">
        <v>4</v>
      </c>
      <c r="V19" s="72">
        <f>U19*$B$19</f>
        <v>100</v>
      </c>
      <c r="W19" s="71">
        <v>4</v>
      </c>
      <c r="X19" s="72">
        <f>W19*$B$19</f>
        <v>100</v>
      </c>
      <c r="Y19" s="71">
        <v>4</v>
      </c>
      <c r="Z19" s="72">
        <f>Y19*$B$19</f>
        <v>100</v>
      </c>
      <c r="AA19" s="71">
        <v>3</v>
      </c>
      <c r="AB19" s="72">
        <f>AA19*$B$19</f>
        <v>75</v>
      </c>
      <c r="AC19" s="1"/>
      <c r="AD19" s="1"/>
      <c r="AE19" s="1"/>
      <c r="AF19" s="1"/>
      <c r="AG19" s="1"/>
      <c r="AH19" s="1"/>
      <c r="AI19" s="1"/>
      <c r="AJ19" s="1"/>
      <c r="AK19" s="1"/>
      <c r="AL19" s="1"/>
      <c r="AM19" s="1"/>
      <c r="AN19" s="1"/>
      <c r="AO19" s="1"/>
      <c r="AP19" s="1"/>
      <c r="AQ19" s="1"/>
      <c r="AR19" s="1"/>
    </row>
    <row r="20" spans="1:44" ht="15.6" customHeight="1">
      <c r="A20" s="67" t="str">
        <f>Hipótesis!$B$59</f>
        <v>Alta e instalación Plan Vidriera</v>
      </c>
      <c r="B20" s="73">
        <f>Hipótesis!C59</f>
        <v>60</v>
      </c>
      <c r="C20" s="74">
        <f t="shared" si="0"/>
        <v>62</v>
      </c>
      <c r="D20" s="75">
        <f t="shared" si="1"/>
        <v>3720</v>
      </c>
      <c r="E20" s="74">
        <v>0</v>
      </c>
      <c r="F20" s="76">
        <f>E20*$B$20</f>
        <v>0</v>
      </c>
      <c r="G20" s="74">
        <v>1</v>
      </c>
      <c r="H20" s="76">
        <f>G20*$B$20</f>
        <v>60</v>
      </c>
      <c r="I20" s="74">
        <v>3</v>
      </c>
      <c r="J20" s="76">
        <f>I20*$B$20</f>
        <v>180</v>
      </c>
      <c r="K20" s="74">
        <v>4</v>
      </c>
      <c r="L20" s="76">
        <f>K20*$B$20</f>
        <v>240</v>
      </c>
      <c r="M20" s="74">
        <v>5</v>
      </c>
      <c r="N20" s="76">
        <f>M20*$B$20</f>
        <v>300</v>
      </c>
      <c r="O20" s="74">
        <v>5</v>
      </c>
      <c r="P20" s="76">
        <f>O20*$B$20</f>
        <v>300</v>
      </c>
      <c r="Q20" s="74">
        <v>6</v>
      </c>
      <c r="R20" s="76">
        <f>Q20*$B$20</f>
        <v>360</v>
      </c>
      <c r="S20" s="74">
        <v>7</v>
      </c>
      <c r="T20" s="76">
        <f>S20*$B$20</f>
        <v>420</v>
      </c>
      <c r="U20" s="74">
        <v>7</v>
      </c>
      <c r="V20" s="76">
        <f>U20*$B$20</f>
        <v>420</v>
      </c>
      <c r="W20" s="74">
        <v>8</v>
      </c>
      <c r="X20" s="76">
        <f>W20*$B$20</f>
        <v>480</v>
      </c>
      <c r="Y20" s="74">
        <v>8</v>
      </c>
      <c r="Z20" s="76">
        <f>Y20*$B$20</f>
        <v>480</v>
      </c>
      <c r="AA20" s="74">
        <v>8</v>
      </c>
      <c r="AB20" s="76">
        <f>AA20*$B$20</f>
        <v>480</v>
      </c>
      <c r="AC20" s="1"/>
      <c r="AD20" s="1"/>
      <c r="AE20" s="1"/>
      <c r="AF20" s="1"/>
      <c r="AG20" s="1"/>
      <c r="AH20" s="1"/>
      <c r="AI20" s="1"/>
      <c r="AJ20" s="1"/>
      <c r="AK20" s="1"/>
      <c r="AL20" s="1"/>
      <c r="AM20" s="1"/>
      <c r="AN20" s="1"/>
      <c r="AO20" s="1"/>
      <c r="AP20" s="1"/>
      <c r="AQ20" s="1"/>
      <c r="AR20" s="1"/>
    </row>
    <row r="21" spans="1:44" ht="15.6" customHeight="1">
      <c r="A21" s="67" t="str">
        <f>Hipótesis!$B$60</f>
        <v>Alta e instalación Plan Cadena</v>
      </c>
      <c r="B21" s="77">
        <f>Hipótesis!C60</f>
        <v>250</v>
      </c>
      <c r="C21" s="78">
        <f t="shared" si="0"/>
        <v>10</v>
      </c>
      <c r="D21" s="75">
        <f t="shared" si="1"/>
        <v>2500</v>
      </c>
      <c r="E21" s="79">
        <v>0</v>
      </c>
      <c r="F21" s="80">
        <f>E21*$B$21</f>
        <v>0</v>
      </c>
      <c r="G21" s="79">
        <v>0</v>
      </c>
      <c r="H21" s="80">
        <f>G21*$B$21</f>
        <v>0</v>
      </c>
      <c r="I21" s="79">
        <v>0</v>
      </c>
      <c r="J21" s="80">
        <f>I21*$B$21</f>
        <v>0</v>
      </c>
      <c r="K21" s="79">
        <v>0</v>
      </c>
      <c r="L21" s="80">
        <f>K21*$B$21</f>
        <v>0</v>
      </c>
      <c r="M21" s="79">
        <v>1</v>
      </c>
      <c r="N21" s="80">
        <f>M21*$B$21</f>
        <v>250</v>
      </c>
      <c r="O21" s="79">
        <v>1</v>
      </c>
      <c r="P21" s="80">
        <f>O21*$B$21</f>
        <v>250</v>
      </c>
      <c r="Q21" s="79">
        <v>1</v>
      </c>
      <c r="R21" s="80">
        <f>Q21*$B$21</f>
        <v>250</v>
      </c>
      <c r="S21" s="79">
        <v>1</v>
      </c>
      <c r="T21" s="80">
        <f>S21*$B$21</f>
        <v>250</v>
      </c>
      <c r="U21" s="79">
        <v>1</v>
      </c>
      <c r="V21" s="80">
        <f>U21*$B$21</f>
        <v>250</v>
      </c>
      <c r="W21" s="79">
        <v>1</v>
      </c>
      <c r="X21" s="80">
        <f>W21*$B$21</f>
        <v>250</v>
      </c>
      <c r="Y21" s="79">
        <v>1</v>
      </c>
      <c r="Z21" s="80">
        <f>Y21*$B$21</f>
        <v>250</v>
      </c>
      <c r="AA21" s="79">
        <v>3</v>
      </c>
      <c r="AB21" s="80">
        <f>AA21*$B$21</f>
        <v>750</v>
      </c>
      <c r="AC21" s="1"/>
      <c r="AD21" s="1"/>
      <c r="AE21" s="1"/>
      <c r="AF21" s="1"/>
      <c r="AG21" s="1"/>
      <c r="AH21" s="1"/>
      <c r="AI21" s="1"/>
      <c r="AJ21" s="1"/>
      <c r="AK21" s="1"/>
      <c r="AL21" s="1"/>
      <c r="AM21" s="1"/>
      <c r="AN21" s="1"/>
      <c r="AO21" s="1"/>
      <c r="AP21" s="1"/>
      <c r="AQ21" s="1"/>
      <c r="AR21" s="1"/>
    </row>
    <row r="22" spans="1:44" ht="15.6" customHeight="1">
      <c r="A22" s="81" t="str">
        <f>Hipótesis!$B$61</f>
        <v>Abono Plan Básico</v>
      </c>
      <c r="B22" s="82">
        <f>Hipótesis!C61</f>
        <v>15</v>
      </c>
      <c r="C22" s="83">
        <f t="shared" si="0"/>
        <v>148</v>
      </c>
      <c r="D22" s="84">
        <f t="shared" si="1"/>
        <v>2220</v>
      </c>
      <c r="E22" s="85">
        <f>E19</f>
        <v>0</v>
      </c>
      <c r="F22" s="86">
        <f>E22*$B$22</f>
        <v>0</v>
      </c>
      <c r="G22" s="85">
        <f>E22+G19</f>
        <v>1</v>
      </c>
      <c r="H22" s="86">
        <f>G22*$B$22</f>
        <v>15</v>
      </c>
      <c r="I22" s="85">
        <f>G22+I19</f>
        <v>2</v>
      </c>
      <c r="J22" s="86">
        <f>I22*$B$22</f>
        <v>30</v>
      </c>
      <c r="K22" s="85">
        <f>I22+K19</f>
        <v>4</v>
      </c>
      <c r="L22" s="86">
        <f>K22*$B$22</f>
        <v>60</v>
      </c>
      <c r="M22" s="85">
        <f>K22+M19</f>
        <v>6</v>
      </c>
      <c r="N22" s="86">
        <f>M22*$B$22</f>
        <v>90</v>
      </c>
      <c r="O22" s="85">
        <f>M22+O19</f>
        <v>9</v>
      </c>
      <c r="P22" s="86">
        <f>O22*$B$22</f>
        <v>135</v>
      </c>
      <c r="Q22" s="85">
        <f>O22+Q19</f>
        <v>12</v>
      </c>
      <c r="R22" s="86">
        <f>Q22*$B$22</f>
        <v>180</v>
      </c>
      <c r="S22" s="85">
        <f>Q22+S19</f>
        <v>15</v>
      </c>
      <c r="T22" s="86">
        <f>S22*$B$22</f>
        <v>225</v>
      </c>
      <c r="U22" s="85">
        <f>S22+U19</f>
        <v>19</v>
      </c>
      <c r="V22" s="86">
        <f>U22*$B$22</f>
        <v>285</v>
      </c>
      <c r="W22" s="85">
        <f>U22+W19</f>
        <v>23</v>
      </c>
      <c r="X22" s="86">
        <f>W22*$B$22</f>
        <v>345</v>
      </c>
      <c r="Y22" s="85">
        <f>W22+Y19</f>
        <v>27</v>
      </c>
      <c r="Z22" s="86">
        <f>Y22*$B$22</f>
        <v>405</v>
      </c>
      <c r="AA22" s="85">
        <f>Y22+AA19</f>
        <v>30</v>
      </c>
      <c r="AB22" s="86">
        <f>AA22*$B$22</f>
        <v>450</v>
      </c>
      <c r="AC22" s="1"/>
      <c r="AD22" s="1"/>
      <c r="AE22" s="1"/>
      <c r="AF22" s="1"/>
      <c r="AG22" s="1"/>
      <c r="AH22" s="1"/>
      <c r="AI22" s="1"/>
      <c r="AJ22" s="1"/>
      <c r="AK22" s="1"/>
      <c r="AL22" s="1"/>
      <c r="AM22" s="1"/>
      <c r="AN22" s="1"/>
      <c r="AO22" s="1"/>
      <c r="AP22" s="1"/>
      <c r="AQ22" s="1"/>
      <c r="AR22" s="1"/>
    </row>
    <row r="23" spans="1:44" ht="15.6" customHeight="1">
      <c r="A23" s="81" t="str">
        <f>Hipótesis!$B$62</f>
        <v>Abono Plan Vidriera</v>
      </c>
      <c r="B23" s="87">
        <f>Hipótesis!C62</f>
        <v>29</v>
      </c>
      <c r="C23" s="88">
        <f t="shared" si="0"/>
        <v>299</v>
      </c>
      <c r="D23" s="89">
        <f t="shared" si="1"/>
        <v>8671</v>
      </c>
      <c r="E23" s="88">
        <f>E20</f>
        <v>0</v>
      </c>
      <c r="F23" s="90">
        <f>E23*$B$23</f>
        <v>0</v>
      </c>
      <c r="G23" s="88">
        <f>E23+G20</f>
        <v>1</v>
      </c>
      <c r="H23" s="90">
        <f>G23*$B$23</f>
        <v>29</v>
      </c>
      <c r="I23" s="88">
        <f>G23+I20</f>
        <v>4</v>
      </c>
      <c r="J23" s="90">
        <f>I23*$B$23</f>
        <v>116</v>
      </c>
      <c r="K23" s="88">
        <f>I23+K20</f>
        <v>8</v>
      </c>
      <c r="L23" s="90">
        <f>K23*$B$23</f>
        <v>232</v>
      </c>
      <c r="M23" s="88">
        <f>K23+M20</f>
        <v>13</v>
      </c>
      <c r="N23" s="90">
        <f>M23*$B$23</f>
        <v>377</v>
      </c>
      <c r="O23" s="88">
        <f>M23+O20</f>
        <v>18</v>
      </c>
      <c r="P23" s="90">
        <f>O23*$B$23</f>
        <v>522</v>
      </c>
      <c r="Q23" s="88">
        <f>O23+Q20</f>
        <v>24</v>
      </c>
      <c r="R23" s="90">
        <f>Q23*$B$23</f>
        <v>696</v>
      </c>
      <c r="S23" s="88">
        <f>Q23+S20</f>
        <v>31</v>
      </c>
      <c r="T23" s="90">
        <f>S23*$B$23</f>
        <v>899</v>
      </c>
      <c r="U23" s="88">
        <f>S23+U20</f>
        <v>38</v>
      </c>
      <c r="V23" s="90">
        <f>U23*$B$23</f>
        <v>1102</v>
      </c>
      <c r="W23" s="88">
        <f>U23+W20</f>
        <v>46</v>
      </c>
      <c r="X23" s="90">
        <f>W23*$B$23</f>
        <v>1334</v>
      </c>
      <c r="Y23" s="88">
        <f>W23+Y20</f>
        <v>54</v>
      </c>
      <c r="Z23" s="90">
        <f>Y23*$B$23</f>
        <v>1566</v>
      </c>
      <c r="AA23" s="88">
        <f>Y23+AA20</f>
        <v>62</v>
      </c>
      <c r="AB23" s="90">
        <f>AA23*$B$23</f>
        <v>1798</v>
      </c>
      <c r="AC23" s="1"/>
      <c r="AD23" s="1"/>
      <c r="AE23" s="1"/>
      <c r="AF23" s="1"/>
      <c r="AG23" s="1"/>
      <c r="AH23" s="1"/>
      <c r="AI23" s="1"/>
      <c r="AJ23" s="1"/>
      <c r="AK23" s="1"/>
      <c r="AL23" s="1"/>
      <c r="AM23" s="1"/>
      <c r="AN23" s="1"/>
      <c r="AO23" s="1"/>
      <c r="AP23" s="1"/>
      <c r="AQ23" s="1"/>
      <c r="AR23" s="1"/>
    </row>
    <row r="24" spans="1:44" ht="15.6" customHeight="1">
      <c r="A24" s="81" t="str">
        <f>Hipótesis!$B$63</f>
        <v>Abono Plan Cadena</v>
      </c>
      <c r="B24" s="87">
        <f>Hipótesis!C63</f>
        <v>79</v>
      </c>
      <c r="C24" s="88">
        <f t="shared" si="0"/>
        <v>38</v>
      </c>
      <c r="D24" s="89">
        <f t="shared" si="1"/>
        <v>3002</v>
      </c>
      <c r="E24" s="88">
        <f>E21</f>
        <v>0</v>
      </c>
      <c r="F24" s="90">
        <f>E24*$B$24</f>
        <v>0</v>
      </c>
      <c r="G24" s="88">
        <f>E24+G21</f>
        <v>0</v>
      </c>
      <c r="H24" s="90">
        <f>G24*$B$24</f>
        <v>0</v>
      </c>
      <c r="I24" s="88">
        <f>G24+I21</f>
        <v>0</v>
      </c>
      <c r="J24" s="90">
        <f>I24*$B$24</f>
        <v>0</v>
      </c>
      <c r="K24" s="88">
        <f>I24+K21</f>
        <v>0</v>
      </c>
      <c r="L24" s="90">
        <f>K24*$B$24</f>
        <v>0</v>
      </c>
      <c r="M24" s="88">
        <f>K24+M21</f>
        <v>1</v>
      </c>
      <c r="N24" s="90">
        <f>M24*$B$24</f>
        <v>79</v>
      </c>
      <c r="O24" s="88">
        <f>M24+O21</f>
        <v>2</v>
      </c>
      <c r="P24" s="90">
        <f>O24*$B$24</f>
        <v>158</v>
      </c>
      <c r="Q24" s="88">
        <f>O24+Q21</f>
        <v>3</v>
      </c>
      <c r="R24" s="90">
        <f>Q24*$B$24</f>
        <v>237</v>
      </c>
      <c r="S24" s="88">
        <f>Q24+S21</f>
        <v>4</v>
      </c>
      <c r="T24" s="90">
        <f>S24*$B$24</f>
        <v>316</v>
      </c>
      <c r="U24" s="88">
        <f>S24+U21</f>
        <v>5</v>
      </c>
      <c r="V24" s="90">
        <f>U24*$B$24</f>
        <v>395</v>
      </c>
      <c r="W24" s="88">
        <f>U24+W21</f>
        <v>6</v>
      </c>
      <c r="X24" s="90">
        <f>W24*$B$24</f>
        <v>474</v>
      </c>
      <c r="Y24" s="88">
        <f>W24+Y21</f>
        <v>7</v>
      </c>
      <c r="Z24" s="90">
        <f>Y24*$B$24</f>
        <v>553</v>
      </c>
      <c r="AA24" s="88">
        <f>Y24+AA21</f>
        <v>10</v>
      </c>
      <c r="AB24" s="90">
        <f>AA24*$B$24</f>
        <v>790</v>
      </c>
      <c r="AC24" s="1"/>
      <c r="AD24" s="1"/>
      <c r="AE24" s="1"/>
      <c r="AF24" s="1"/>
      <c r="AG24" s="1"/>
      <c r="AH24" s="1"/>
      <c r="AI24" s="1"/>
      <c r="AJ24" s="1"/>
      <c r="AK24" s="1"/>
      <c r="AL24" s="1"/>
      <c r="AM24" s="1"/>
      <c r="AN24" s="1"/>
      <c r="AO24" s="1"/>
      <c r="AP24" s="1"/>
      <c r="AQ24" s="1"/>
      <c r="AR24" s="1"/>
    </row>
    <row r="25" spans="1:44" ht="15.6" customHeight="1">
      <c r="A25" s="91"/>
      <c r="B25" s="92"/>
      <c r="C25" s="93"/>
      <c r="D25" s="94"/>
      <c r="E25" s="93"/>
      <c r="F25" s="95"/>
      <c r="G25" s="93"/>
      <c r="H25" s="95"/>
      <c r="I25" s="93"/>
      <c r="J25" s="95"/>
      <c r="K25" s="93"/>
      <c r="L25" s="95"/>
      <c r="M25" s="93"/>
      <c r="N25" s="95"/>
      <c r="O25" s="93"/>
      <c r="P25" s="95"/>
      <c r="Q25" s="93"/>
      <c r="R25" s="95"/>
      <c r="S25" s="93"/>
      <c r="T25" s="95"/>
      <c r="U25" s="93"/>
      <c r="V25" s="95"/>
      <c r="W25" s="93"/>
      <c r="X25" s="95"/>
      <c r="Y25" s="93"/>
      <c r="Z25" s="95"/>
      <c r="AA25" s="93"/>
      <c r="AB25" s="95"/>
      <c r="AC25" s="1"/>
      <c r="AD25" s="1"/>
      <c r="AE25" s="1"/>
      <c r="AF25" s="1"/>
      <c r="AG25" s="1"/>
      <c r="AH25" s="1"/>
      <c r="AI25" s="1"/>
      <c r="AJ25" s="1"/>
      <c r="AK25" s="1"/>
      <c r="AL25" s="1"/>
      <c r="AM25" s="1"/>
      <c r="AN25" s="1"/>
      <c r="AO25" s="1"/>
      <c r="AP25" s="1"/>
      <c r="AQ25" s="1"/>
      <c r="AR25" s="1"/>
    </row>
    <row r="26" spans="1:44" ht="15.6" customHeight="1">
      <c r="A26" s="96"/>
      <c r="B26" s="97"/>
      <c r="C26" s="98"/>
      <c r="D26" s="99"/>
      <c r="E26" s="100"/>
      <c r="F26" s="101"/>
      <c r="G26" s="100"/>
      <c r="H26" s="101"/>
      <c r="I26" s="100"/>
      <c r="J26" s="101"/>
      <c r="K26" s="100"/>
      <c r="L26" s="101"/>
      <c r="M26" s="100"/>
      <c r="N26" s="101"/>
      <c r="O26" s="100"/>
      <c r="P26" s="101"/>
      <c r="Q26" s="100"/>
      <c r="R26" s="101"/>
      <c r="S26" s="100"/>
      <c r="T26" s="101"/>
      <c r="U26" s="100"/>
      <c r="V26" s="101"/>
      <c r="W26" s="100"/>
      <c r="X26" s="101"/>
      <c r="Y26" s="100"/>
      <c r="Z26" s="101"/>
      <c r="AA26" s="100"/>
      <c r="AB26" s="101"/>
      <c r="AC26" s="1"/>
      <c r="AD26" s="1"/>
      <c r="AE26" s="1"/>
      <c r="AF26" s="1"/>
      <c r="AG26" s="1"/>
      <c r="AH26" s="1"/>
      <c r="AI26" s="1"/>
      <c r="AJ26" s="1"/>
      <c r="AK26" s="1"/>
      <c r="AL26" s="1"/>
      <c r="AM26" s="1"/>
      <c r="AN26" s="1"/>
      <c r="AO26" s="1"/>
      <c r="AP26" s="1"/>
      <c r="AQ26" s="1"/>
      <c r="AR26" s="1"/>
    </row>
    <row r="27" spans="1:44" ht="15.6" customHeight="1">
      <c r="A27" s="102"/>
      <c r="B27" s="103"/>
      <c r="C27" s="104"/>
      <c r="D27" s="105"/>
      <c r="E27" s="104"/>
      <c r="F27" s="105"/>
      <c r="G27" s="104"/>
      <c r="H27" s="105"/>
      <c r="I27" s="104"/>
      <c r="J27" s="105"/>
      <c r="K27" s="104"/>
      <c r="L27" s="105"/>
      <c r="M27" s="104"/>
      <c r="N27" s="105"/>
      <c r="O27" s="104"/>
      <c r="P27" s="105"/>
      <c r="Q27" s="104"/>
      <c r="R27" s="105"/>
      <c r="S27" s="104"/>
      <c r="T27" s="105"/>
      <c r="U27" s="104"/>
      <c r="V27" s="105"/>
      <c r="W27" s="104"/>
      <c r="X27" s="105"/>
      <c r="Y27" s="104"/>
      <c r="Z27" s="105"/>
      <c r="AA27" s="104"/>
      <c r="AB27" s="105"/>
      <c r="AC27" s="1"/>
      <c r="AD27" s="1"/>
      <c r="AE27" s="1"/>
      <c r="AF27" s="1"/>
      <c r="AG27" s="1"/>
      <c r="AH27" s="1"/>
      <c r="AI27" s="1"/>
      <c r="AJ27" s="1"/>
      <c r="AK27" s="1"/>
      <c r="AL27" s="1"/>
      <c r="AM27" s="1"/>
      <c r="AN27" s="1"/>
      <c r="AO27" s="1"/>
      <c r="AP27" s="1"/>
      <c r="AQ27" s="1"/>
      <c r="AR27" s="1"/>
    </row>
    <row r="28" spans="1:44" ht="15.6" customHeight="1">
      <c r="A28" s="102"/>
      <c r="B28" s="103"/>
      <c r="C28" s="104"/>
      <c r="D28" s="105"/>
      <c r="E28" s="104"/>
      <c r="F28" s="105"/>
      <c r="G28" s="104"/>
      <c r="H28" s="105"/>
      <c r="I28" s="104"/>
      <c r="J28" s="105"/>
      <c r="K28" s="104"/>
      <c r="L28" s="105"/>
      <c r="M28" s="104"/>
      <c r="N28" s="105"/>
      <c r="O28" s="104"/>
      <c r="P28" s="105"/>
      <c r="Q28" s="104"/>
      <c r="R28" s="105"/>
      <c r="S28" s="104"/>
      <c r="T28" s="105"/>
      <c r="U28" s="104"/>
      <c r="V28" s="105"/>
      <c r="W28" s="104"/>
      <c r="X28" s="105"/>
      <c r="Y28" s="104"/>
      <c r="Z28" s="105"/>
      <c r="AA28" s="104"/>
      <c r="AB28" s="105"/>
      <c r="AC28" s="1"/>
      <c r="AD28" s="1"/>
      <c r="AE28" s="1"/>
      <c r="AF28" s="1"/>
      <c r="AG28" s="1"/>
      <c r="AH28" s="1"/>
      <c r="AI28" s="1"/>
      <c r="AJ28" s="1"/>
      <c r="AK28" s="1"/>
      <c r="AL28" s="1"/>
      <c r="AM28" s="1"/>
      <c r="AN28" s="1"/>
      <c r="AO28" s="1"/>
      <c r="AP28" s="1"/>
      <c r="AQ28" s="1"/>
      <c r="AR28" s="1"/>
    </row>
    <row r="29" spans="1:44" ht="15.6" customHeight="1">
      <c r="A29" s="102"/>
      <c r="B29" s="103"/>
      <c r="C29" s="104"/>
      <c r="D29" s="105"/>
      <c r="E29" s="104"/>
      <c r="F29" s="105"/>
      <c r="G29" s="104"/>
      <c r="H29" s="105"/>
      <c r="I29" s="104"/>
      <c r="J29" s="105"/>
      <c r="K29" s="104"/>
      <c r="L29" s="105"/>
      <c r="M29" s="104"/>
      <c r="N29" s="105"/>
      <c r="O29" s="104"/>
      <c r="P29" s="105"/>
      <c r="Q29" s="104"/>
      <c r="R29" s="105"/>
      <c r="S29" s="104"/>
      <c r="T29" s="105"/>
      <c r="U29" s="104"/>
      <c r="V29" s="105"/>
      <c r="W29" s="104"/>
      <c r="X29" s="105"/>
      <c r="Y29" s="104"/>
      <c r="Z29" s="105"/>
      <c r="AA29" s="104"/>
      <c r="AB29" s="105"/>
      <c r="AC29" s="1"/>
      <c r="AD29" s="1"/>
      <c r="AE29" s="1"/>
      <c r="AF29" s="1"/>
      <c r="AG29" s="1"/>
      <c r="AH29" s="1"/>
      <c r="AI29" s="1"/>
      <c r="AJ29" s="1"/>
      <c r="AK29" s="1"/>
      <c r="AL29" s="1"/>
      <c r="AM29" s="1"/>
      <c r="AN29" s="1"/>
      <c r="AO29" s="1"/>
      <c r="AP29" s="1"/>
      <c r="AQ29" s="1"/>
      <c r="AR29" s="1"/>
    </row>
    <row r="30" spans="1:44" ht="15.6" customHeight="1">
      <c r="A30" s="106"/>
      <c r="B30" s="107"/>
      <c r="C30" s="108"/>
      <c r="D30" s="109"/>
      <c r="E30" s="108"/>
      <c r="F30" s="109"/>
      <c r="G30" s="108"/>
      <c r="H30" s="109"/>
      <c r="I30" s="108"/>
      <c r="J30" s="109"/>
      <c r="K30" s="108"/>
      <c r="L30" s="109"/>
      <c r="M30" s="108"/>
      <c r="N30" s="109"/>
      <c r="O30" s="108"/>
      <c r="P30" s="109"/>
      <c r="Q30" s="108"/>
      <c r="R30" s="109"/>
      <c r="S30" s="108"/>
      <c r="T30" s="109"/>
      <c r="U30" s="108"/>
      <c r="V30" s="109"/>
      <c r="W30" s="108"/>
      <c r="X30" s="109"/>
      <c r="Y30" s="108"/>
      <c r="Z30" s="109"/>
      <c r="AA30" s="108"/>
      <c r="AB30" s="109"/>
      <c r="AC30" s="1"/>
      <c r="AD30" s="1"/>
      <c r="AE30" s="1"/>
      <c r="AF30" s="1"/>
      <c r="AG30" s="1"/>
      <c r="AH30" s="1"/>
      <c r="AI30" s="1"/>
      <c r="AJ30" s="1"/>
      <c r="AK30" s="1"/>
      <c r="AL30" s="1"/>
      <c r="AM30" s="1"/>
      <c r="AN30" s="1"/>
      <c r="AO30" s="1"/>
      <c r="AP30" s="1"/>
      <c r="AQ30" s="1"/>
      <c r="AR30" s="1"/>
    </row>
    <row r="31" spans="1:44" ht="15.6" customHeight="1">
      <c r="A31" s="110"/>
      <c r="B31" s="111"/>
      <c r="C31" s="112"/>
      <c r="D31" s="113"/>
      <c r="E31" s="114"/>
      <c r="F31" s="115"/>
      <c r="G31" s="114"/>
      <c r="H31" s="115"/>
      <c r="I31" s="114"/>
      <c r="J31" s="115"/>
      <c r="K31" s="114"/>
      <c r="L31" s="115"/>
      <c r="M31" s="114"/>
      <c r="N31" s="115"/>
      <c r="O31" s="114"/>
      <c r="P31" s="115"/>
      <c r="Q31" s="114"/>
      <c r="R31" s="115"/>
      <c r="S31" s="114"/>
      <c r="T31" s="115"/>
      <c r="U31" s="114"/>
      <c r="V31" s="115"/>
      <c r="W31" s="114"/>
      <c r="X31" s="115"/>
      <c r="Y31" s="114"/>
      <c r="Z31" s="115"/>
      <c r="AA31" s="114"/>
      <c r="AB31" s="115"/>
      <c r="AC31" s="1"/>
      <c r="AD31" s="1"/>
      <c r="AE31" s="1"/>
      <c r="AF31" s="1"/>
      <c r="AG31" s="1"/>
      <c r="AH31" s="1"/>
      <c r="AI31" s="1"/>
      <c r="AJ31" s="1"/>
      <c r="AK31" s="1"/>
      <c r="AL31" s="1"/>
      <c r="AM31" s="1"/>
      <c r="AN31" s="1"/>
      <c r="AO31" s="1"/>
      <c r="AP31" s="1"/>
      <c r="AQ31" s="1"/>
      <c r="AR31" s="1"/>
    </row>
    <row r="32" spans="1:44" ht="15.6" customHeight="1">
      <c r="A32" s="718" t="s">
        <v>92</v>
      </c>
      <c r="B32" s="652"/>
      <c r="C32" s="116"/>
      <c r="D32" s="117">
        <f>SUM(D19:D31)</f>
        <v>20863</v>
      </c>
      <c r="E32" s="118"/>
      <c r="F32" s="119">
        <f>SUM(F19:F31)</f>
        <v>0</v>
      </c>
      <c r="G32" s="118"/>
      <c r="H32" s="119">
        <f>SUM(H19:H31)</f>
        <v>129</v>
      </c>
      <c r="I32" s="118"/>
      <c r="J32" s="119">
        <f>SUM(J19:J31)</f>
        <v>351</v>
      </c>
      <c r="K32" s="118"/>
      <c r="L32" s="119">
        <f>SUM(L19:L31)</f>
        <v>582</v>
      </c>
      <c r="M32" s="118"/>
      <c r="N32" s="119">
        <f>SUM(N19:N31)</f>
        <v>1146</v>
      </c>
      <c r="O32" s="118"/>
      <c r="P32" s="119">
        <f>SUM(P19:P31)</f>
        <v>1440</v>
      </c>
      <c r="Q32" s="118"/>
      <c r="R32" s="119">
        <f>SUM(R19:R31)</f>
        <v>1798</v>
      </c>
      <c r="S32" s="118"/>
      <c r="T32" s="119">
        <f>SUM(T19:T31)</f>
        <v>2185</v>
      </c>
      <c r="U32" s="118"/>
      <c r="V32" s="119">
        <f>SUM(V19:V31)</f>
        <v>2552</v>
      </c>
      <c r="W32" s="118"/>
      <c r="X32" s="119">
        <f>SUM(X19:X31)</f>
        <v>2983</v>
      </c>
      <c r="Y32" s="118"/>
      <c r="Z32" s="119">
        <f>SUM(Z19:Z31)</f>
        <v>3354</v>
      </c>
      <c r="AA32" s="118"/>
      <c r="AB32" s="119">
        <f>SUM(AB19:AB31)</f>
        <v>4343</v>
      </c>
      <c r="AC32" s="120"/>
      <c r="AD32" s="1"/>
      <c r="AE32" s="1"/>
      <c r="AF32" s="1"/>
      <c r="AG32" s="1"/>
      <c r="AH32" s="1"/>
      <c r="AI32" s="1"/>
      <c r="AJ32" s="1"/>
      <c r="AK32" s="1"/>
      <c r="AL32" s="1"/>
      <c r="AM32" s="1"/>
      <c r="AN32" s="1"/>
      <c r="AO32" s="1"/>
      <c r="AP32" s="1"/>
      <c r="AQ32" s="1"/>
      <c r="AR32" s="1"/>
    </row>
    <row r="33" spans="1:44" ht="15.6" customHeight="1">
      <c r="A33" s="664"/>
      <c r="B33" s="649"/>
      <c r="C33" s="121">
        <f>C19</f>
        <v>30</v>
      </c>
      <c r="D33" s="122"/>
      <c r="E33" s="123">
        <f>E19</f>
        <v>0</v>
      </c>
      <c r="F33" s="124"/>
      <c r="G33" s="123">
        <f>G19</f>
        <v>1</v>
      </c>
      <c r="H33" s="124"/>
      <c r="I33" s="123">
        <f>I19</f>
        <v>1</v>
      </c>
      <c r="J33" s="124"/>
      <c r="K33" s="123">
        <f>K19</f>
        <v>2</v>
      </c>
      <c r="L33" s="124"/>
      <c r="M33" s="123">
        <f>M19</f>
        <v>2</v>
      </c>
      <c r="N33" s="124"/>
      <c r="O33" s="123">
        <f>O19</f>
        <v>3</v>
      </c>
      <c r="P33" s="124"/>
      <c r="Q33" s="123">
        <f>Q19</f>
        <v>3</v>
      </c>
      <c r="R33" s="124"/>
      <c r="S33" s="123">
        <f>S19</f>
        <v>3</v>
      </c>
      <c r="T33" s="124"/>
      <c r="U33" s="123">
        <f>U19</f>
        <v>4</v>
      </c>
      <c r="V33" s="124"/>
      <c r="W33" s="123">
        <f>W19</f>
        <v>4</v>
      </c>
      <c r="X33" s="124"/>
      <c r="Y33" s="123">
        <f>Y19</f>
        <v>4</v>
      </c>
      <c r="Z33" s="124"/>
      <c r="AA33" s="123">
        <f>AA19</f>
        <v>3</v>
      </c>
      <c r="AB33" s="122"/>
      <c r="AC33" s="1"/>
      <c r="AD33" s="1"/>
      <c r="AE33" s="1"/>
      <c r="AF33" s="1"/>
      <c r="AG33" s="1"/>
      <c r="AH33" s="1"/>
      <c r="AI33" s="1"/>
      <c r="AJ33" s="1"/>
      <c r="AK33" s="1"/>
      <c r="AL33" s="1"/>
      <c r="AM33" s="1"/>
      <c r="AN33" s="1"/>
      <c r="AO33" s="1"/>
      <c r="AP33" s="1"/>
      <c r="AQ33" s="1"/>
      <c r="AR33" s="1"/>
    </row>
    <row r="34" spans="1:44" ht="15.6" customHeight="1">
      <c r="A34" s="664"/>
      <c r="B34" s="649"/>
      <c r="C34" s="125">
        <f>C20</f>
        <v>62</v>
      </c>
      <c r="D34" s="126"/>
      <c r="E34" s="127">
        <f>E20</f>
        <v>0</v>
      </c>
      <c r="F34" s="128"/>
      <c r="G34" s="127">
        <f>G20</f>
        <v>1</v>
      </c>
      <c r="H34" s="128"/>
      <c r="I34" s="127">
        <f>I20</f>
        <v>3</v>
      </c>
      <c r="J34" s="128"/>
      <c r="K34" s="127">
        <f>K20</f>
        <v>4</v>
      </c>
      <c r="L34" s="128"/>
      <c r="M34" s="127">
        <f>M20</f>
        <v>5</v>
      </c>
      <c r="N34" s="128"/>
      <c r="O34" s="127">
        <f>O20</f>
        <v>5</v>
      </c>
      <c r="P34" s="128"/>
      <c r="Q34" s="127">
        <f>Q20</f>
        <v>6</v>
      </c>
      <c r="R34" s="128"/>
      <c r="S34" s="127">
        <f>S20</f>
        <v>7</v>
      </c>
      <c r="T34" s="128"/>
      <c r="U34" s="127">
        <f>U20</f>
        <v>7</v>
      </c>
      <c r="V34" s="128"/>
      <c r="W34" s="127">
        <f>W20</f>
        <v>8</v>
      </c>
      <c r="X34" s="128"/>
      <c r="Y34" s="127">
        <f>Y20</f>
        <v>8</v>
      </c>
      <c r="Z34" s="128"/>
      <c r="AA34" s="127">
        <f>AA20</f>
        <v>8</v>
      </c>
      <c r="AB34" s="126"/>
      <c r="AC34" s="1"/>
      <c r="AD34" s="1"/>
      <c r="AE34" s="1"/>
      <c r="AF34" s="1"/>
      <c r="AG34" s="1"/>
      <c r="AH34" s="1"/>
      <c r="AI34" s="1"/>
      <c r="AJ34" s="1"/>
      <c r="AK34" s="1"/>
      <c r="AL34" s="1"/>
      <c r="AM34" s="1"/>
      <c r="AN34" s="1"/>
      <c r="AO34" s="1"/>
      <c r="AP34" s="1"/>
      <c r="AQ34" s="1"/>
      <c r="AR34" s="1"/>
    </row>
    <row r="35" spans="1:44" ht="15.6" customHeight="1">
      <c r="A35" s="661"/>
      <c r="B35" s="662"/>
      <c r="C35" s="129">
        <f>C21</f>
        <v>10</v>
      </c>
      <c r="D35" s="130"/>
      <c r="E35" s="131">
        <f>E21</f>
        <v>0</v>
      </c>
      <c r="F35" s="132"/>
      <c r="G35" s="131">
        <f>G21</f>
        <v>0</v>
      </c>
      <c r="H35" s="132"/>
      <c r="I35" s="131">
        <f>I21</f>
        <v>0</v>
      </c>
      <c r="J35" s="132"/>
      <c r="K35" s="131">
        <f>K21</f>
        <v>0</v>
      </c>
      <c r="L35" s="132"/>
      <c r="M35" s="131">
        <f>M21</f>
        <v>1</v>
      </c>
      <c r="N35" s="132"/>
      <c r="O35" s="131">
        <f>O21</f>
        <v>1</v>
      </c>
      <c r="P35" s="132"/>
      <c r="Q35" s="131">
        <f>Q21</f>
        <v>1</v>
      </c>
      <c r="R35" s="132"/>
      <c r="S35" s="131">
        <f>S21</f>
        <v>1</v>
      </c>
      <c r="T35" s="132"/>
      <c r="U35" s="131">
        <f>U21</f>
        <v>1</v>
      </c>
      <c r="V35" s="132"/>
      <c r="W35" s="131">
        <f>W21</f>
        <v>1</v>
      </c>
      <c r="X35" s="132"/>
      <c r="Y35" s="131">
        <f>Y21</f>
        <v>1</v>
      </c>
      <c r="Z35" s="132"/>
      <c r="AA35" s="131">
        <f>AA21</f>
        <v>3</v>
      </c>
      <c r="AB35" s="130"/>
      <c r="AC35" s="1"/>
      <c r="AD35" s="1"/>
      <c r="AE35" s="1"/>
      <c r="AF35" s="1"/>
      <c r="AG35" s="1"/>
      <c r="AH35" s="1"/>
      <c r="AI35" s="1"/>
      <c r="AJ35" s="1"/>
      <c r="AK35" s="1"/>
      <c r="AL35" s="1"/>
      <c r="AM35" s="1"/>
      <c r="AN35" s="1"/>
      <c r="AO35" s="1"/>
      <c r="AP35" s="1"/>
      <c r="AQ35" s="1"/>
      <c r="AR35" s="1"/>
    </row>
    <row r="36" spans="1:44" ht="15.6" customHeight="1">
      <c r="A36" s="724"/>
      <c r="B36" s="621"/>
      <c r="C36" s="133">
        <f>SUM(C22:C25)</f>
        <v>485</v>
      </c>
      <c r="D36" s="134"/>
      <c r="E36" s="135">
        <f>SUM(E22:E25)</f>
        <v>0</v>
      </c>
      <c r="F36" s="136"/>
      <c r="G36" s="135">
        <f>SUM(G22:G25)</f>
        <v>2</v>
      </c>
      <c r="H36" s="136"/>
      <c r="I36" s="135">
        <f>SUM(I22:I25)</f>
        <v>6</v>
      </c>
      <c r="J36" s="136"/>
      <c r="K36" s="135">
        <f>SUM(K22:K25)</f>
        <v>12</v>
      </c>
      <c r="L36" s="136"/>
      <c r="M36" s="135">
        <f>SUM(M22:M25)</f>
        <v>20</v>
      </c>
      <c r="N36" s="136"/>
      <c r="O36" s="135">
        <f>SUM(O22:O25)</f>
        <v>29</v>
      </c>
      <c r="P36" s="136"/>
      <c r="Q36" s="135">
        <f>SUM(Q22:Q25)</f>
        <v>39</v>
      </c>
      <c r="R36" s="136"/>
      <c r="S36" s="135">
        <f>SUM(S22:S25)</f>
        <v>50</v>
      </c>
      <c r="T36" s="136"/>
      <c r="U36" s="135">
        <f>SUM(U22:U25)</f>
        <v>62</v>
      </c>
      <c r="V36" s="136"/>
      <c r="W36" s="135">
        <f>SUM(W22:W25)</f>
        <v>75</v>
      </c>
      <c r="X36" s="136"/>
      <c r="Y36" s="135">
        <f>SUM(Y22:Y25)</f>
        <v>88</v>
      </c>
      <c r="Z36" s="136"/>
      <c r="AA36" s="135">
        <f>SUM(AA22:AA25)</f>
        <v>102</v>
      </c>
      <c r="AB36" s="137"/>
      <c r="AC36" s="1"/>
      <c r="AD36" s="1"/>
      <c r="AE36" s="1"/>
      <c r="AF36" s="1"/>
      <c r="AG36" s="1"/>
      <c r="AH36" s="1"/>
      <c r="AI36" s="1"/>
      <c r="AJ36" s="1"/>
      <c r="AK36" s="1"/>
      <c r="AL36" s="1"/>
      <c r="AM36" s="1"/>
      <c r="AN36" s="1"/>
      <c r="AO36" s="1"/>
      <c r="AP36" s="1"/>
      <c r="AQ36" s="1"/>
      <c r="AR36" s="1"/>
    </row>
    <row r="37" spans="1:44" ht="15.6" customHeight="1">
      <c r="A37" s="676"/>
      <c r="B37" s="639"/>
      <c r="C37" s="138">
        <f>SUM(C26:C30)</f>
        <v>0</v>
      </c>
      <c r="D37" s="139"/>
      <c r="E37" s="140">
        <f>SUM(E26:E30)</f>
        <v>0</v>
      </c>
      <c r="F37" s="141"/>
      <c r="G37" s="140">
        <f>SUM(G26:G30)</f>
        <v>0</v>
      </c>
      <c r="H37" s="141"/>
      <c r="I37" s="140">
        <f>SUM(I26:I30)</f>
        <v>0</v>
      </c>
      <c r="J37" s="141"/>
      <c r="K37" s="140">
        <f>SUM(K26:K30)</f>
        <v>0</v>
      </c>
      <c r="L37" s="141"/>
      <c r="M37" s="140">
        <f>SUM(M26:M30)</f>
        <v>0</v>
      </c>
      <c r="N37" s="141"/>
      <c r="O37" s="140">
        <f>SUM(O26:O30)</f>
        <v>0</v>
      </c>
      <c r="P37" s="141"/>
      <c r="Q37" s="140">
        <f>SUM(Q26:Q30)</f>
        <v>0</v>
      </c>
      <c r="R37" s="141"/>
      <c r="S37" s="140">
        <f>SUM(S26:S30)</f>
        <v>0</v>
      </c>
      <c r="T37" s="141"/>
      <c r="U37" s="140">
        <f>SUM(U26:U30)</f>
        <v>0</v>
      </c>
      <c r="V37" s="141"/>
      <c r="W37" s="140">
        <f>SUM(W26:W30)</f>
        <v>0</v>
      </c>
      <c r="X37" s="141"/>
      <c r="Y37" s="140">
        <f>SUM(Y26:Y30)</f>
        <v>0</v>
      </c>
      <c r="Z37" s="141"/>
      <c r="AA37" s="140">
        <f>SUM(AA26:AA30)</f>
        <v>0</v>
      </c>
      <c r="AB37" s="142"/>
      <c r="AC37" s="1"/>
      <c r="AD37" s="1"/>
      <c r="AE37" s="1"/>
      <c r="AF37" s="1"/>
      <c r="AG37" s="1"/>
      <c r="AH37" s="1"/>
      <c r="AI37" s="1"/>
      <c r="AJ37" s="1"/>
      <c r="AK37" s="1"/>
      <c r="AL37" s="1"/>
      <c r="AM37" s="1"/>
      <c r="AN37" s="1"/>
      <c r="AO37" s="1"/>
      <c r="AP37" s="1"/>
      <c r="AQ37" s="1"/>
      <c r="AR37" s="1"/>
    </row>
    <row r="38" spans="1:44" ht="15.6" customHeight="1">
      <c r="A38" s="693"/>
      <c r="B38" s="621"/>
      <c r="C38" s="143">
        <f>C31</f>
        <v>0</v>
      </c>
      <c r="D38" s="144"/>
      <c r="E38" s="145">
        <f>E31</f>
        <v>0</v>
      </c>
      <c r="F38" s="146"/>
      <c r="G38" s="145">
        <f>G31</f>
        <v>0</v>
      </c>
      <c r="H38" s="146"/>
      <c r="I38" s="145">
        <f>I31</f>
        <v>0</v>
      </c>
      <c r="J38" s="146"/>
      <c r="K38" s="145">
        <f>K31</f>
        <v>0</v>
      </c>
      <c r="L38" s="146"/>
      <c r="M38" s="145">
        <f>M31</f>
        <v>0</v>
      </c>
      <c r="N38" s="146"/>
      <c r="O38" s="145">
        <f>O31</f>
        <v>0</v>
      </c>
      <c r="P38" s="146"/>
      <c r="Q38" s="145">
        <f>Q31</f>
        <v>0</v>
      </c>
      <c r="R38" s="146"/>
      <c r="S38" s="145">
        <f>S31</f>
        <v>0</v>
      </c>
      <c r="T38" s="146"/>
      <c r="U38" s="145">
        <f>U31</f>
        <v>0</v>
      </c>
      <c r="V38" s="146"/>
      <c r="W38" s="145">
        <f>W31</f>
        <v>0</v>
      </c>
      <c r="X38" s="146"/>
      <c r="Y38" s="145">
        <f>Y31</f>
        <v>0</v>
      </c>
      <c r="Z38" s="146"/>
      <c r="AA38" s="145">
        <f>AA31</f>
        <v>0</v>
      </c>
      <c r="AB38" s="147"/>
      <c r="AC38" s="1"/>
      <c r="AD38" s="1"/>
      <c r="AE38" s="1"/>
      <c r="AF38" s="1"/>
      <c r="AG38" s="1"/>
      <c r="AH38" s="1"/>
      <c r="AI38" s="1"/>
      <c r="AJ38" s="1"/>
      <c r="AK38" s="1"/>
      <c r="AL38" s="1"/>
      <c r="AM38" s="1"/>
      <c r="AN38" s="1"/>
      <c r="AO38" s="1"/>
      <c r="AP38" s="1"/>
      <c r="AQ38" s="1"/>
      <c r="AR38" s="1"/>
    </row>
    <row r="39" spans="1:44" ht="14.4" customHeight="1">
      <c r="A39" s="1"/>
      <c r="B39" s="1"/>
      <c r="C39" s="1"/>
      <c r="D39" s="148"/>
      <c r="E39" s="1"/>
      <c r="F39" s="1"/>
      <c r="G39" s="1"/>
      <c r="H39" s="1"/>
      <c r="I39" s="149"/>
      <c r="J39" s="149"/>
      <c r="K39" s="149"/>
      <c r="L39" s="149"/>
      <c r="M39" s="1"/>
      <c r="N39" s="149"/>
      <c r="O39" s="149"/>
      <c r="P39" s="149"/>
      <c r="Q39" s="149"/>
      <c r="R39" s="149"/>
      <c r="S39" s="149"/>
      <c r="T39" s="149"/>
      <c r="U39" s="149"/>
      <c r="V39" s="149"/>
      <c r="W39" s="149"/>
      <c r="X39" s="149"/>
      <c r="Y39" s="149"/>
      <c r="Z39" s="149"/>
      <c r="AA39" s="1"/>
      <c r="AB39" s="149"/>
      <c r="AC39" s="1"/>
      <c r="AD39" s="1"/>
      <c r="AE39" s="1"/>
      <c r="AF39" s="1"/>
      <c r="AG39" s="1"/>
      <c r="AH39" s="1"/>
      <c r="AI39" s="1"/>
      <c r="AJ39" s="1"/>
      <c r="AK39" s="1"/>
      <c r="AL39" s="1"/>
      <c r="AM39" s="1"/>
      <c r="AN39" s="1"/>
      <c r="AO39" s="1"/>
      <c r="AP39" s="1"/>
      <c r="AQ39" s="1"/>
      <c r="AR39" s="1"/>
    </row>
    <row r="40" spans="1:44" ht="25.95" customHeight="1">
      <c r="A40" s="681" t="s">
        <v>93</v>
      </c>
      <c r="B40" s="620"/>
      <c r="C40" s="620"/>
      <c r="D40" s="620"/>
      <c r="E40" s="620"/>
      <c r="F40" s="620"/>
      <c r="G40" s="620"/>
      <c r="H40" s="620"/>
      <c r="I40" s="620"/>
      <c r="J40" s="620"/>
      <c r="K40" s="620"/>
      <c r="L40" s="620"/>
      <c r="M40" s="620"/>
      <c r="N40" s="620"/>
      <c r="O40" s="620"/>
      <c r="P40" s="620"/>
      <c r="Q40" s="620"/>
      <c r="R40" s="620"/>
      <c r="S40" s="620"/>
      <c r="T40" s="620"/>
      <c r="U40" s="620"/>
      <c r="V40" s="620"/>
      <c r="W40" s="620"/>
      <c r="X40" s="620"/>
      <c r="Y40" s="620"/>
      <c r="Z40" s="620"/>
      <c r="AA40" s="620"/>
      <c r="AB40" s="621"/>
      <c r="AC40" s="1"/>
      <c r="AD40" s="1"/>
      <c r="AE40" s="1"/>
      <c r="AF40" s="1"/>
      <c r="AG40" s="1"/>
      <c r="AH40" s="1"/>
      <c r="AI40" s="1"/>
      <c r="AJ40" s="1"/>
      <c r="AK40" s="1"/>
      <c r="AL40" s="1"/>
      <c r="AM40" s="1"/>
      <c r="AN40" s="1"/>
      <c r="AO40" s="1"/>
      <c r="AP40" s="1"/>
      <c r="AQ40" s="1"/>
      <c r="AR40" s="1"/>
    </row>
    <row r="41" spans="1:44" ht="25.95" customHeight="1">
      <c r="A41" s="150" t="s">
        <v>94</v>
      </c>
      <c r="B41" s="700" t="s">
        <v>95</v>
      </c>
      <c r="C41" s="620"/>
      <c r="D41" s="620"/>
      <c r="E41" s="620"/>
      <c r="F41" s="620"/>
      <c r="G41" s="620"/>
      <c r="H41" s="620"/>
      <c r="I41" s="620"/>
      <c r="J41" s="620"/>
      <c r="K41" s="620"/>
      <c r="L41" s="620"/>
      <c r="M41" s="620"/>
      <c r="N41" s="620"/>
      <c r="O41" s="620"/>
      <c r="P41" s="620"/>
      <c r="Q41" s="620"/>
      <c r="R41" s="620"/>
      <c r="S41" s="620"/>
      <c r="T41" s="620"/>
      <c r="U41" s="620"/>
      <c r="V41" s="620"/>
      <c r="W41" s="620"/>
      <c r="X41" s="620"/>
      <c r="Y41" s="620"/>
      <c r="Z41" s="620"/>
      <c r="AA41" s="620"/>
      <c r="AB41" s="621"/>
      <c r="AC41" s="1"/>
      <c r="AD41" s="1"/>
      <c r="AE41" s="1"/>
      <c r="AF41" s="1"/>
      <c r="AG41" s="1"/>
      <c r="AH41" s="1"/>
      <c r="AI41" s="1"/>
      <c r="AJ41" s="1"/>
      <c r="AK41" s="1"/>
      <c r="AL41" s="1"/>
      <c r="AM41" s="1"/>
      <c r="AN41" s="1"/>
      <c r="AO41" s="1"/>
      <c r="AP41" s="1"/>
      <c r="AQ41" s="1"/>
      <c r="AR41" s="1"/>
    </row>
    <row r="42" spans="1:44" ht="21" customHeight="1">
      <c r="A42" s="715" t="s">
        <v>96</v>
      </c>
      <c r="B42" s="637"/>
      <c r="C42" s="689" t="s">
        <v>97</v>
      </c>
      <c r="D42" s="642"/>
      <c r="E42" s="689" t="s">
        <v>98</v>
      </c>
      <c r="F42" s="641"/>
      <c r="G42" s="641"/>
      <c r="H42" s="641"/>
      <c r="I42" s="641"/>
      <c r="J42" s="641"/>
      <c r="K42" s="641"/>
      <c r="L42" s="641"/>
      <c r="M42" s="641"/>
      <c r="N42" s="641"/>
      <c r="O42" s="641"/>
      <c r="P42" s="641"/>
      <c r="Q42" s="641"/>
      <c r="R42" s="641"/>
      <c r="S42" s="641"/>
      <c r="T42" s="641"/>
      <c r="U42" s="641"/>
      <c r="V42" s="641"/>
      <c r="W42" s="641"/>
      <c r="X42" s="641"/>
      <c r="Y42" s="641"/>
      <c r="Z42" s="641"/>
      <c r="AA42" s="641"/>
      <c r="AB42" s="642"/>
      <c r="AC42" s="1"/>
      <c r="AD42" s="1"/>
      <c r="AE42" s="1"/>
      <c r="AF42" s="1"/>
      <c r="AG42" s="1"/>
      <c r="AH42" s="1"/>
      <c r="AI42" s="1"/>
      <c r="AJ42" s="1"/>
      <c r="AK42" s="1"/>
      <c r="AL42" s="1"/>
      <c r="AM42" s="1"/>
      <c r="AN42" s="1"/>
      <c r="AO42" s="1"/>
      <c r="AP42" s="1"/>
      <c r="AQ42" s="1"/>
      <c r="AR42" s="1"/>
    </row>
    <row r="43" spans="1:44" ht="14.4" customHeight="1">
      <c r="A43" s="638"/>
      <c r="B43" s="639"/>
      <c r="C43" s="697" t="s">
        <v>34</v>
      </c>
      <c r="D43" s="637"/>
      <c r="E43" s="697" t="s">
        <v>79</v>
      </c>
      <c r="F43" s="637"/>
      <c r="G43" s="654" t="s">
        <v>80</v>
      </c>
      <c r="H43" s="637"/>
      <c r="I43" s="654" t="s">
        <v>81</v>
      </c>
      <c r="J43" s="637"/>
      <c r="K43" s="654" t="s">
        <v>82</v>
      </c>
      <c r="L43" s="637"/>
      <c r="M43" s="654" t="s">
        <v>83</v>
      </c>
      <c r="N43" s="637"/>
      <c r="O43" s="654" t="s">
        <v>84</v>
      </c>
      <c r="P43" s="637"/>
      <c r="Q43" s="654" t="s">
        <v>85</v>
      </c>
      <c r="R43" s="637"/>
      <c r="S43" s="654" t="s">
        <v>86</v>
      </c>
      <c r="T43" s="637"/>
      <c r="U43" s="654" t="s">
        <v>87</v>
      </c>
      <c r="V43" s="637"/>
      <c r="W43" s="654" t="s">
        <v>88</v>
      </c>
      <c r="X43" s="637"/>
      <c r="Y43" s="654" t="s">
        <v>89</v>
      </c>
      <c r="Z43" s="637"/>
      <c r="AA43" s="654" t="s">
        <v>90</v>
      </c>
      <c r="AB43" s="637"/>
      <c r="AC43" s="1"/>
      <c r="AD43" s="1"/>
      <c r="AE43" s="1"/>
      <c r="AF43" s="1"/>
      <c r="AG43" s="1"/>
      <c r="AH43" s="1"/>
      <c r="AI43" s="1"/>
      <c r="AJ43" s="1"/>
      <c r="AK43" s="1"/>
      <c r="AL43" s="1"/>
      <c r="AM43" s="1"/>
      <c r="AN43" s="1"/>
      <c r="AO43" s="1"/>
      <c r="AP43" s="1"/>
      <c r="AQ43" s="1"/>
      <c r="AR43" s="1"/>
    </row>
    <row r="44" spans="1:44" ht="14.4" customHeight="1">
      <c r="A44" s="678" t="s">
        <v>99</v>
      </c>
      <c r="B44" s="637"/>
      <c r="C44" s="666" t="s">
        <v>100</v>
      </c>
      <c r="D44" s="652"/>
      <c r="E44" s="698" t="s">
        <v>101</v>
      </c>
      <c r="F44" s="652"/>
      <c r="G44" s="677" t="s">
        <v>101</v>
      </c>
      <c r="H44" s="652"/>
      <c r="I44" s="648" t="s">
        <v>101</v>
      </c>
      <c r="J44" s="649"/>
      <c r="K44" s="677" t="s">
        <v>101</v>
      </c>
      <c r="L44" s="652"/>
      <c r="M44" s="648" t="s">
        <v>101</v>
      </c>
      <c r="N44" s="649"/>
      <c r="O44" s="677" t="s">
        <v>101</v>
      </c>
      <c r="P44" s="652"/>
      <c r="Q44" s="648" t="s">
        <v>101</v>
      </c>
      <c r="R44" s="649"/>
      <c r="S44" s="677" t="s">
        <v>101</v>
      </c>
      <c r="T44" s="652"/>
      <c r="U44" s="677" t="s">
        <v>101</v>
      </c>
      <c r="V44" s="652"/>
      <c r="W44" s="677" t="s">
        <v>101</v>
      </c>
      <c r="X44" s="652"/>
      <c r="Y44" s="677" t="s">
        <v>101</v>
      </c>
      <c r="Z44" s="652"/>
      <c r="AA44" s="677" t="s">
        <v>101</v>
      </c>
      <c r="AB44" s="652"/>
      <c r="AC44" s="1"/>
      <c r="AD44" s="1"/>
      <c r="AE44" s="1"/>
      <c r="AF44" s="1"/>
      <c r="AG44" s="1"/>
      <c r="AH44" s="1"/>
      <c r="AI44" s="1"/>
      <c r="AJ44" s="1"/>
      <c r="AK44" s="1"/>
      <c r="AL44" s="1"/>
      <c r="AM44" s="1"/>
      <c r="AN44" s="1"/>
      <c r="AO44" s="1"/>
      <c r="AP44" s="1"/>
      <c r="AQ44" s="1"/>
      <c r="AR44" s="1"/>
    </row>
    <row r="45" spans="1:44" ht="14.4" customHeight="1">
      <c r="A45" s="638"/>
      <c r="B45" s="639"/>
      <c r="C45" s="650" t="s">
        <v>102</v>
      </c>
      <c r="D45" s="649"/>
      <c r="E45" s="648" t="s">
        <v>101</v>
      </c>
      <c r="F45" s="649"/>
      <c r="G45" s="648" t="s">
        <v>101</v>
      </c>
      <c r="H45" s="649"/>
      <c r="I45" s="648" t="s">
        <v>101</v>
      </c>
      <c r="J45" s="649"/>
      <c r="K45" s="648" t="s">
        <v>101</v>
      </c>
      <c r="L45" s="649"/>
      <c r="M45" s="648" t="s">
        <v>101</v>
      </c>
      <c r="N45" s="649"/>
      <c r="O45" s="648" t="s">
        <v>101</v>
      </c>
      <c r="P45" s="649"/>
      <c r="Q45" s="648" t="s">
        <v>101</v>
      </c>
      <c r="R45" s="649"/>
      <c r="S45" s="648" t="s">
        <v>101</v>
      </c>
      <c r="T45" s="649"/>
      <c r="U45" s="648" t="s">
        <v>101</v>
      </c>
      <c r="V45" s="649"/>
      <c r="W45" s="648" t="s">
        <v>101</v>
      </c>
      <c r="X45" s="649"/>
      <c r="Y45" s="648" t="s">
        <v>101</v>
      </c>
      <c r="Z45" s="649"/>
      <c r="AA45" s="648" t="s">
        <v>101</v>
      </c>
      <c r="AB45" s="649"/>
      <c r="AC45" s="1"/>
      <c r="AD45" s="1"/>
      <c r="AE45" s="1"/>
      <c r="AF45" s="1"/>
      <c r="AG45" s="1"/>
      <c r="AH45" s="1"/>
      <c r="AI45" s="1"/>
      <c r="AJ45" s="1"/>
      <c r="AK45" s="1"/>
      <c r="AL45" s="1"/>
      <c r="AM45" s="1"/>
      <c r="AN45" s="1"/>
      <c r="AO45" s="1"/>
      <c r="AP45" s="1"/>
      <c r="AQ45" s="1"/>
      <c r="AR45" s="1"/>
    </row>
    <row r="46" spans="1:44" ht="14.4" customHeight="1">
      <c r="A46" s="638"/>
      <c r="B46" s="639"/>
      <c r="C46" s="650" t="s">
        <v>103</v>
      </c>
      <c r="D46" s="649"/>
      <c r="E46" s="687" t="s">
        <v>101</v>
      </c>
      <c r="F46" s="649"/>
      <c r="G46" s="648" t="s">
        <v>101</v>
      </c>
      <c r="H46" s="649"/>
      <c r="I46" s="648" t="s">
        <v>101</v>
      </c>
      <c r="J46" s="649"/>
      <c r="K46" s="648" t="s">
        <v>101</v>
      </c>
      <c r="L46" s="649"/>
      <c r="M46" s="648" t="s">
        <v>101</v>
      </c>
      <c r="N46" s="649"/>
      <c r="O46" s="648" t="s">
        <v>101</v>
      </c>
      <c r="P46" s="649"/>
      <c r="Q46" s="648" t="s">
        <v>101</v>
      </c>
      <c r="R46" s="649"/>
      <c r="S46" s="648" t="s">
        <v>101</v>
      </c>
      <c r="T46" s="649"/>
      <c r="U46" s="648" t="s">
        <v>101</v>
      </c>
      <c r="V46" s="649"/>
      <c r="W46" s="648" t="s">
        <v>101</v>
      </c>
      <c r="X46" s="649"/>
      <c r="Y46" s="648" t="s">
        <v>101</v>
      </c>
      <c r="Z46" s="649"/>
      <c r="AA46" s="648" t="s">
        <v>101</v>
      </c>
      <c r="AB46" s="649"/>
      <c r="AC46" s="1"/>
      <c r="AD46" s="1"/>
      <c r="AE46" s="1"/>
      <c r="AF46" s="1"/>
      <c r="AG46" s="1"/>
      <c r="AH46" s="1"/>
      <c r="AI46" s="1"/>
      <c r="AJ46" s="1"/>
      <c r="AK46" s="1"/>
      <c r="AL46" s="1"/>
      <c r="AM46" s="1"/>
      <c r="AN46" s="1"/>
      <c r="AO46" s="1"/>
      <c r="AP46" s="1"/>
      <c r="AQ46" s="1"/>
      <c r="AR46" s="1"/>
    </row>
    <row r="47" spans="1:44" ht="14.4" customHeight="1">
      <c r="A47" s="638"/>
      <c r="B47" s="639"/>
      <c r="C47" s="650" t="s">
        <v>104</v>
      </c>
      <c r="D47" s="649"/>
      <c r="E47" s="650" t="s">
        <v>101</v>
      </c>
      <c r="F47" s="649"/>
      <c r="G47" s="648" t="s">
        <v>101</v>
      </c>
      <c r="H47" s="649"/>
      <c r="I47" s="648" t="s">
        <v>101</v>
      </c>
      <c r="J47" s="649"/>
      <c r="K47" s="648" t="s">
        <v>101</v>
      </c>
      <c r="L47" s="649"/>
      <c r="M47" s="648" t="s">
        <v>101</v>
      </c>
      <c r="N47" s="649"/>
      <c r="O47" s="648" t="s">
        <v>101</v>
      </c>
      <c r="P47" s="649"/>
      <c r="Q47" s="709" t="s">
        <v>101</v>
      </c>
      <c r="R47" s="649"/>
      <c r="S47" s="648" t="s">
        <v>101</v>
      </c>
      <c r="T47" s="649"/>
      <c r="U47" s="648" t="s">
        <v>101</v>
      </c>
      <c r="V47" s="649"/>
      <c r="W47" s="648" t="s">
        <v>101</v>
      </c>
      <c r="X47" s="649"/>
      <c r="Y47" s="648" t="s">
        <v>101</v>
      </c>
      <c r="Z47" s="649"/>
      <c r="AA47" s="648" t="s">
        <v>101</v>
      </c>
      <c r="AB47" s="649"/>
      <c r="AC47" s="1"/>
      <c r="AD47" s="1"/>
      <c r="AE47" s="1"/>
      <c r="AF47" s="1"/>
      <c r="AG47" s="1"/>
      <c r="AH47" s="1"/>
      <c r="AI47" s="1"/>
      <c r="AJ47" s="1"/>
      <c r="AK47" s="1"/>
      <c r="AL47" s="1"/>
      <c r="AM47" s="1"/>
      <c r="AN47" s="1"/>
      <c r="AO47" s="1"/>
      <c r="AP47" s="1"/>
      <c r="AQ47" s="1"/>
      <c r="AR47" s="1"/>
    </row>
    <row r="48" spans="1:44" ht="14.4" customHeight="1">
      <c r="A48" s="638"/>
      <c r="B48" s="639"/>
      <c r="C48" s="650" t="s">
        <v>105</v>
      </c>
      <c r="D48" s="649"/>
      <c r="E48" s="650" t="s">
        <v>101</v>
      </c>
      <c r="F48" s="649"/>
      <c r="G48" s="648" t="s">
        <v>101</v>
      </c>
      <c r="H48" s="649"/>
      <c r="I48" s="648" t="s">
        <v>101</v>
      </c>
      <c r="J48" s="649"/>
      <c r="K48" s="648" t="s">
        <v>101</v>
      </c>
      <c r="L48" s="649"/>
      <c r="M48" s="648" t="s">
        <v>101</v>
      </c>
      <c r="N48" s="649"/>
      <c r="O48" s="648" t="s">
        <v>101</v>
      </c>
      <c r="P48" s="649"/>
      <c r="Q48" s="648" t="s">
        <v>106</v>
      </c>
      <c r="R48" s="649"/>
      <c r="S48" s="648" t="s">
        <v>101</v>
      </c>
      <c r="T48" s="649"/>
      <c r="U48" s="648" t="s">
        <v>101</v>
      </c>
      <c r="V48" s="649"/>
      <c r="W48" s="710" t="s">
        <v>101</v>
      </c>
      <c r="X48" s="649"/>
      <c r="Y48" s="648" t="s">
        <v>101</v>
      </c>
      <c r="Z48" s="649"/>
      <c r="AA48" s="648" t="s">
        <v>101</v>
      </c>
      <c r="AB48" s="649"/>
      <c r="AC48" s="1"/>
      <c r="AD48" s="1"/>
      <c r="AE48" s="1"/>
      <c r="AF48" s="1"/>
      <c r="AG48" s="1"/>
      <c r="AH48" s="1"/>
      <c r="AI48" s="1"/>
      <c r="AJ48" s="1"/>
      <c r="AK48" s="1"/>
      <c r="AL48" s="1"/>
      <c r="AM48" s="1"/>
      <c r="AN48" s="1"/>
      <c r="AO48" s="1"/>
      <c r="AP48" s="1"/>
      <c r="AQ48" s="1"/>
      <c r="AR48" s="1"/>
    </row>
    <row r="49" spans="1:44" ht="14.4" customHeight="1">
      <c r="A49" s="638"/>
      <c r="B49" s="639"/>
      <c r="C49" s="650"/>
      <c r="D49" s="649"/>
      <c r="E49" s="650"/>
      <c r="F49" s="649"/>
      <c r="G49" s="648"/>
      <c r="H49" s="649"/>
      <c r="I49" s="648"/>
      <c r="J49" s="649"/>
      <c r="K49" s="648"/>
      <c r="L49" s="649"/>
      <c r="M49" s="648"/>
      <c r="N49" s="649"/>
      <c r="O49" s="648"/>
      <c r="P49" s="649"/>
      <c r="Q49" s="648"/>
      <c r="R49" s="649"/>
      <c r="S49" s="648"/>
      <c r="T49" s="649"/>
      <c r="U49" s="648"/>
      <c r="V49" s="649"/>
      <c r="W49" s="710"/>
      <c r="X49" s="649"/>
      <c r="Y49" s="648"/>
      <c r="Z49" s="649"/>
      <c r="AA49" s="648"/>
      <c r="AB49" s="649"/>
      <c r="AC49" s="1"/>
      <c r="AD49" s="1"/>
      <c r="AE49" s="1"/>
      <c r="AF49" s="1"/>
      <c r="AG49" s="1"/>
      <c r="AH49" s="1"/>
      <c r="AI49" s="1"/>
      <c r="AJ49" s="1"/>
      <c r="AK49" s="1"/>
      <c r="AL49" s="1"/>
      <c r="AM49" s="1"/>
      <c r="AN49" s="1"/>
      <c r="AO49" s="1"/>
      <c r="AP49" s="1"/>
      <c r="AQ49" s="1"/>
      <c r="AR49" s="1"/>
    </row>
    <row r="50" spans="1:44" ht="14.4" customHeight="1">
      <c r="A50" s="638"/>
      <c r="B50" s="639"/>
      <c r="C50" s="650"/>
      <c r="D50" s="649"/>
      <c r="E50" s="650"/>
      <c r="F50" s="649"/>
      <c r="G50" s="648"/>
      <c r="H50" s="649"/>
      <c r="I50" s="648"/>
      <c r="J50" s="649"/>
      <c r="K50" s="648"/>
      <c r="L50" s="649"/>
      <c r="M50" s="648"/>
      <c r="N50" s="649"/>
      <c r="O50" s="648"/>
      <c r="P50" s="649"/>
      <c r="Q50" s="648"/>
      <c r="R50" s="649"/>
      <c r="S50" s="648"/>
      <c r="T50" s="649"/>
      <c r="U50" s="648"/>
      <c r="V50" s="649"/>
      <c r="W50" s="710"/>
      <c r="X50" s="649"/>
      <c r="Y50" s="648"/>
      <c r="Z50" s="649"/>
      <c r="AA50" s="648"/>
      <c r="AB50" s="649"/>
      <c r="AC50" s="1"/>
      <c r="AD50" s="1"/>
      <c r="AE50" s="1"/>
      <c r="AF50" s="1"/>
      <c r="AG50" s="1"/>
      <c r="AH50" s="1"/>
      <c r="AI50" s="1"/>
      <c r="AJ50" s="1"/>
      <c r="AK50" s="1"/>
      <c r="AL50" s="1"/>
      <c r="AM50" s="1"/>
      <c r="AN50" s="1"/>
      <c r="AO50" s="1"/>
      <c r="AP50" s="1"/>
      <c r="AQ50" s="1"/>
      <c r="AR50" s="1"/>
    </row>
    <row r="51" spans="1:44" ht="14.4" customHeight="1">
      <c r="A51" s="638"/>
      <c r="B51" s="639"/>
      <c r="C51" s="650"/>
      <c r="D51" s="649"/>
      <c r="E51" s="650"/>
      <c r="F51" s="649"/>
      <c r="G51" s="648"/>
      <c r="H51" s="649"/>
      <c r="I51" s="648"/>
      <c r="J51" s="649"/>
      <c r="K51" s="648"/>
      <c r="L51" s="649"/>
      <c r="M51" s="648"/>
      <c r="N51" s="649"/>
      <c r="O51" s="648"/>
      <c r="P51" s="649"/>
      <c r="Q51" s="648"/>
      <c r="R51" s="649"/>
      <c r="S51" s="648"/>
      <c r="T51" s="649"/>
      <c r="U51" s="648"/>
      <c r="V51" s="649"/>
      <c r="W51" s="648"/>
      <c r="X51" s="649"/>
      <c r="Y51" s="648"/>
      <c r="Z51" s="649"/>
      <c r="AA51" s="648"/>
      <c r="AB51" s="649"/>
      <c r="AC51" s="1"/>
      <c r="AD51" s="1"/>
      <c r="AE51" s="1"/>
      <c r="AF51" s="1"/>
      <c r="AG51" s="1"/>
      <c r="AH51" s="1"/>
      <c r="AI51" s="1"/>
      <c r="AJ51" s="1"/>
      <c r="AK51" s="1"/>
      <c r="AL51" s="1"/>
      <c r="AM51" s="1"/>
      <c r="AN51" s="1"/>
      <c r="AO51" s="1"/>
      <c r="AP51" s="1"/>
      <c r="AQ51" s="1"/>
      <c r="AR51" s="1"/>
    </row>
    <row r="52" spans="1:44" ht="14.4" customHeight="1">
      <c r="A52" s="638"/>
      <c r="B52" s="639"/>
      <c r="C52" s="650"/>
      <c r="D52" s="649"/>
      <c r="E52" s="650"/>
      <c r="F52" s="649"/>
      <c r="G52" s="648"/>
      <c r="H52" s="649"/>
      <c r="I52" s="648"/>
      <c r="J52" s="649"/>
      <c r="K52" s="648"/>
      <c r="L52" s="649"/>
      <c r="M52" s="648"/>
      <c r="N52" s="649"/>
      <c r="O52" s="648"/>
      <c r="P52" s="649"/>
      <c r="Q52" s="648"/>
      <c r="R52" s="649"/>
      <c r="S52" s="648"/>
      <c r="T52" s="649"/>
      <c r="U52" s="648"/>
      <c r="V52" s="649"/>
      <c r="W52" s="648"/>
      <c r="X52" s="649"/>
      <c r="Y52" s="648"/>
      <c r="Z52" s="649"/>
      <c r="AA52" s="648"/>
      <c r="AB52" s="649"/>
      <c r="AC52" s="1"/>
      <c r="AD52" s="1"/>
      <c r="AE52" s="1"/>
      <c r="AF52" s="1"/>
      <c r="AG52" s="1"/>
      <c r="AH52" s="1"/>
      <c r="AI52" s="1"/>
      <c r="AJ52" s="1"/>
      <c r="AK52" s="1"/>
      <c r="AL52" s="1"/>
      <c r="AM52" s="1"/>
      <c r="AN52" s="1"/>
      <c r="AO52" s="1"/>
      <c r="AP52" s="1"/>
      <c r="AQ52" s="1"/>
      <c r="AR52" s="1"/>
    </row>
    <row r="53" spans="1:44" ht="14.4" customHeight="1">
      <c r="A53" s="638"/>
      <c r="B53" s="639"/>
      <c r="C53" s="650"/>
      <c r="D53" s="649"/>
      <c r="E53" s="650"/>
      <c r="F53" s="649"/>
      <c r="G53" s="648"/>
      <c r="H53" s="649"/>
      <c r="I53" s="648"/>
      <c r="J53" s="649"/>
      <c r="K53" s="648"/>
      <c r="L53" s="649"/>
      <c r="M53" s="648"/>
      <c r="N53" s="649"/>
      <c r="O53" s="648"/>
      <c r="P53" s="649"/>
      <c r="Q53" s="648"/>
      <c r="R53" s="649"/>
      <c r="S53" s="648"/>
      <c r="T53" s="649"/>
      <c r="U53" s="648"/>
      <c r="V53" s="649"/>
      <c r="W53" s="648"/>
      <c r="X53" s="649"/>
      <c r="Y53" s="648"/>
      <c r="Z53" s="649"/>
      <c r="AA53" s="648"/>
      <c r="AB53" s="649"/>
      <c r="AC53" s="1"/>
      <c r="AD53" s="1"/>
      <c r="AE53" s="1"/>
      <c r="AF53" s="1"/>
      <c r="AG53" s="1"/>
      <c r="AH53" s="1"/>
      <c r="AI53" s="1"/>
      <c r="AJ53" s="1"/>
      <c r="AK53" s="1"/>
      <c r="AL53" s="1"/>
      <c r="AM53" s="1"/>
      <c r="AN53" s="1"/>
      <c r="AO53" s="1"/>
      <c r="AP53" s="1"/>
      <c r="AQ53" s="1"/>
      <c r="AR53" s="1"/>
    </row>
    <row r="54" spans="1:44" ht="14.4" customHeight="1">
      <c r="A54" s="638"/>
      <c r="B54" s="639"/>
      <c r="C54" s="650"/>
      <c r="D54" s="649"/>
      <c r="E54" s="650"/>
      <c r="F54" s="649"/>
      <c r="G54" s="648"/>
      <c r="H54" s="649"/>
      <c r="I54" s="648"/>
      <c r="J54" s="649"/>
      <c r="K54" s="648"/>
      <c r="L54" s="649"/>
      <c r="M54" s="648"/>
      <c r="N54" s="649"/>
      <c r="O54" s="648"/>
      <c r="P54" s="649"/>
      <c r="Q54" s="648"/>
      <c r="R54" s="649"/>
      <c r="S54" s="648"/>
      <c r="T54" s="649"/>
      <c r="U54" s="648"/>
      <c r="V54" s="649"/>
      <c r="W54" s="648"/>
      <c r="X54" s="649"/>
      <c r="Y54" s="648"/>
      <c r="Z54" s="649"/>
      <c r="AA54" s="648"/>
      <c r="AB54" s="649"/>
      <c r="AC54" s="1"/>
      <c r="AD54" s="1"/>
      <c r="AE54" s="1"/>
      <c r="AF54" s="1"/>
      <c r="AG54" s="1"/>
      <c r="AH54" s="1"/>
      <c r="AI54" s="1"/>
      <c r="AJ54" s="1"/>
      <c r="AK54" s="1"/>
      <c r="AL54" s="1"/>
      <c r="AM54" s="1"/>
      <c r="AN54" s="1"/>
      <c r="AO54" s="1"/>
      <c r="AP54" s="1"/>
      <c r="AQ54" s="1"/>
      <c r="AR54" s="1"/>
    </row>
    <row r="55" spans="1:44" ht="14.4" customHeight="1">
      <c r="A55" s="638"/>
      <c r="B55" s="639"/>
      <c r="C55" s="650"/>
      <c r="D55" s="649"/>
      <c r="E55" s="650"/>
      <c r="F55" s="649"/>
      <c r="G55" s="648"/>
      <c r="H55" s="649"/>
      <c r="I55" s="648"/>
      <c r="J55" s="649"/>
      <c r="K55" s="648"/>
      <c r="L55" s="649"/>
      <c r="M55" s="648"/>
      <c r="N55" s="649"/>
      <c r="O55" s="648"/>
      <c r="P55" s="649"/>
      <c r="Q55" s="648"/>
      <c r="R55" s="649"/>
      <c r="S55" s="648"/>
      <c r="T55" s="649"/>
      <c r="U55" s="648"/>
      <c r="V55" s="649"/>
      <c r="W55" s="648"/>
      <c r="X55" s="649"/>
      <c r="Y55" s="648"/>
      <c r="Z55" s="649"/>
      <c r="AA55" s="648"/>
      <c r="AB55" s="649"/>
      <c r="AC55" s="1"/>
      <c r="AD55" s="1"/>
      <c r="AE55" s="1"/>
      <c r="AF55" s="1"/>
      <c r="AG55" s="1"/>
      <c r="AH55" s="1"/>
      <c r="AI55" s="1"/>
      <c r="AJ55" s="1"/>
      <c r="AK55" s="1"/>
      <c r="AL55" s="1"/>
      <c r="AM55" s="1"/>
      <c r="AN55" s="1"/>
      <c r="AO55" s="1"/>
      <c r="AP55" s="1"/>
      <c r="AQ55" s="1"/>
      <c r="AR55" s="1"/>
    </row>
    <row r="56" spans="1:44" ht="14.4" customHeight="1">
      <c r="A56" s="638"/>
      <c r="B56" s="639"/>
      <c r="C56" s="650"/>
      <c r="D56" s="649"/>
      <c r="E56" s="650"/>
      <c r="F56" s="649"/>
      <c r="G56" s="648"/>
      <c r="H56" s="649"/>
      <c r="I56" s="648"/>
      <c r="J56" s="649"/>
      <c r="K56" s="648"/>
      <c r="L56" s="649"/>
      <c r="M56" s="648"/>
      <c r="N56" s="649"/>
      <c r="O56" s="648"/>
      <c r="P56" s="649"/>
      <c r="Q56" s="648"/>
      <c r="R56" s="649"/>
      <c r="S56" s="648"/>
      <c r="T56" s="649"/>
      <c r="U56" s="648"/>
      <c r="V56" s="649"/>
      <c r="W56" s="648"/>
      <c r="X56" s="649"/>
      <c r="Y56" s="648"/>
      <c r="Z56" s="649"/>
      <c r="AA56" s="648"/>
      <c r="AB56" s="649"/>
      <c r="AC56" s="1"/>
      <c r="AD56" s="1"/>
      <c r="AE56" s="1"/>
      <c r="AF56" s="1"/>
      <c r="AG56" s="1"/>
      <c r="AH56" s="1"/>
      <c r="AI56" s="1"/>
      <c r="AJ56" s="1"/>
      <c r="AK56" s="1"/>
      <c r="AL56" s="1"/>
      <c r="AM56" s="1"/>
      <c r="AN56" s="1"/>
      <c r="AO56" s="1"/>
      <c r="AP56" s="1"/>
      <c r="AQ56" s="1"/>
      <c r="AR56" s="1"/>
    </row>
    <row r="57" spans="1:44" ht="14.4" customHeight="1">
      <c r="A57" s="638"/>
      <c r="B57" s="639"/>
      <c r="C57" s="650"/>
      <c r="D57" s="649"/>
      <c r="E57" s="650"/>
      <c r="F57" s="649"/>
      <c r="G57" s="648"/>
      <c r="H57" s="649"/>
      <c r="I57" s="648"/>
      <c r="J57" s="649"/>
      <c r="K57" s="648"/>
      <c r="L57" s="649"/>
      <c r="M57" s="648"/>
      <c r="N57" s="649"/>
      <c r="O57" s="648"/>
      <c r="P57" s="649"/>
      <c r="Q57" s="648"/>
      <c r="R57" s="649"/>
      <c r="S57" s="648"/>
      <c r="T57" s="649"/>
      <c r="U57" s="648"/>
      <c r="V57" s="649"/>
      <c r="W57" s="648"/>
      <c r="X57" s="649"/>
      <c r="Y57" s="648"/>
      <c r="Z57" s="649"/>
      <c r="AA57" s="648"/>
      <c r="AB57" s="649"/>
      <c r="AC57" s="1"/>
      <c r="AD57" s="1"/>
      <c r="AE57" s="1"/>
      <c r="AF57" s="1"/>
      <c r="AG57" s="1"/>
      <c r="AH57" s="1"/>
      <c r="AI57" s="1"/>
      <c r="AJ57" s="1"/>
      <c r="AK57" s="1"/>
      <c r="AL57" s="1"/>
      <c r="AM57" s="1"/>
      <c r="AN57" s="1"/>
      <c r="AO57" s="1"/>
      <c r="AP57" s="1"/>
      <c r="AQ57" s="1"/>
      <c r="AR57" s="1"/>
    </row>
    <row r="58" spans="1:44" ht="14.4" customHeight="1">
      <c r="A58" s="638"/>
      <c r="B58" s="639"/>
      <c r="C58" s="650"/>
      <c r="D58" s="649"/>
      <c r="E58" s="650"/>
      <c r="F58" s="649"/>
      <c r="G58" s="648"/>
      <c r="H58" s="649"/>
      <c r="I58" s="648"/>
      <c r="J58" s="649"/>
      <c r="K58" s="648"/>
      <c r="L58" s="649"/>
      <c r="M58" s="648"/>
      <c r="N58" s="649"/>
      <c r="O58" s="648"/>
      <c r="P58" s="649"/>
      <c r="Q58" s="648"/>
      <c r="R58" s="649"/>
      <c r="S58" s="648"/>
      <c r="T58" s="649"/>
      <c r="U58" s="648"/>
      <c r="V58" s="649"/>
      <c r="W58" s="648"/>
      <c r="X58" s="649"/>
      <c r="Y58" s="648"/>
      <c r="Z58" s="649"/>
      <c r="AA58" s="648"/>
      <c r="AB58" s="649"/>
      <c r="AC58" s="1"/>
      <c r="AD58" s="1"/>
      <c r="AE58" s="1"/>
      <c r="AF58" s="1"/>
      <c r="AG58" s="1"/>
      <c r="AH58" s="1"/>
      <c r="AI58" s="1"/>
      <c r="AJ58" s="1"/>
      <c r="AK58" s="1"/>
      <c r="AL58" s="1"/>
      <c r="AM58" s="1"/>
      <c r="AN58" s="1"/>
      <c r="AO58" s="1"/>
      <c r="AP58" s="1"/>
      <c r="AQ58" s="1"/>
      <c r="AR58" s="1"/>
    </row>
    <row r="59" spans="1:44" ht="14.4" customHeight="1">
      <c r="A59" s="638"/>
      <c r="B59" s="639"/>
      <c r="C59" s="650"/>
      <c r="D59" s="649"/>
      <c r="E59" s="650"/>
      <c r="F59" s="649"/>
      <c r="G59" s="648"/>
      <c r="H59" s="649"/>
      <c r="I59" s="648"/>
      <c r="J59" s="649"/>
      <c r="K59" s="648"/>
      <c r="L59" s="649"/>
      <c r="M59" s="648"/>
      <c r="N59" s="649"/>
      <c r="O59" s="648"/>
      <c r="P59" s="649"/>
      <c r="Q59" s="648"/>
      <c r="R59" s="649"/>
      <c r="S59" s="648"/>
      <c r="T59" s="649"/>
      <c r="U59" s="648"/>
      <c r="V59" s="649"/>
      <c r="W59" s="648"/>
      <c r="X59" s="649"/>
      <c r="Y59" s="648"/>
      <c r="Z59" s="649"/>
      <c r="AA59" s="648"/>
      <c r="AB59" s="649"/>
      <c r="AC59" s="1"/>
      <c r="AD59" s="1"/>
      <c r="AE59" s="1"/>
      <c r="AF59" s="1"/>
      <c r="AG59" s="1"/>
      <c r="AH59" s="1"/>
      <c r="AI59" s="1"/>
      <c r="AJ59" s="1"/>
      <c r="AK59" s="1"/>
      <c r="AL59" s="1"/>
      <c r="AM59" s="1"/>
      <c r="AN59" s="1"/>
      <c r="AO59" s="1"/>
      <c r="AP59" s="1"/>
      <c r="AQ59" s="1"/>
      <c r="AR59" s="1"/>
    </row>
    <row r="60" spans="1:44" ht="14.4" customHeight="1">
      <c r="A60" s="638"/>
      <c r="B60" s="639"/>
      <c r="C60" s="650"/>
      <c r="D60" s="649"/>
      <c r="E60" s="650"/>
      <c r="F60" s="649"/>
      <c r="G60" s="648"/>
      <c r="H60" s="649"/>
      <c r="I60" s="648"/>
      <c r="J60" s="649"/>
      <c r="K60" s="648"/>
      <c r="L60" s="649"/>
      <c r="M60" s="648"/>
      <c r="N60" s="649"/>
      <c r="O60" s="648"/>
      <c r="P60" s="649"/>
      <c r="Q60" s="648"/>
      <c r="R60" s="649"/>
      <c r="S60" s="648"/>
      <c r="T60" s="649"/>
      <c r="U60" s="648"/>
      <c r="V60" s="649"/>
      <c r="W60" s="648"/>
      <c r="X60" s="649"/>
      <c r="Y60" s="648"/>
      <c r="Z60" s="649"/>
      <c r="AA60" s="648"/>
      <c r="AB60" s="649"/>
      <c r="AC60" s="1"/>
      <c r="AD60" s="1"/>
      <c r="AE60" s="1"/>
      <c r="AF60" s="1"/>
      <c r="AG60" s="1"/>
      <c r="AH60" s="1"/>
      <c r="AI60" s="1"/>
      <c r="AJ60" s="1"/>
      <c r="AK60" s="1"/>
      <c r="AL60" s="1"/>
      <c r="AM60" s="1"/>
      <c r="AN60" s="1"/>
      <c r="AO60" s="1"/>
      <c r="AP60" s="1"/>
      <c r="AQ60" s="1"/>
      <c r="AR60" s="1"/>
    </row>
    <row r="61" spans="1:44" ht="14.4" customHeight="1">
      <c r="A61" s="640"/>
      <c r="B61" s="642"/>
      <c r="C61" s="704"/>
      <c r="D61" s="669"/>
      <c r="E61" s="684"/>
      <c r="F61" s="662"/>
      <c r="G61" s="663"/>
      <c r="H61" s="662"/>
      <c r="I61" s="663"/>
      <c r="J61" s="662"/>
      <c r="K61" s="663"/>
      <c r="L61" s="662"/>
      <c r="M61" s="663"/>
      <c r="N61" s="662"/>
      <c r="O61" s="663"/>
      <c r="P61" s="662"/>
      <c r="Q61" s="663"/>
      <c r="R61" s="662"/>
      <c r="S61" s="663"/>
      <c r="T61" s="662"/>
      <c r="U61" s="663"/>
      <c r="V61" s="662"/>
      <c r="W61" s="663"/>
      <c r="X61" s="662"/>
      <c r="Y61" s="663"/>
      <c r="Z61" s="662"/>
      <c r="AA61" s="663"/>
      <c r="AB61" s="662"/>
      <c r="AC61" s="1"/>
      <c r="AD61" s="1"/>
      <c r="AE61" s="1"/>
      <c r="AF61" s="1"/>
      <c r="AG61" s="1"/>
      <c r="AH61" s="1"/>
      <c r="AI61" s="1"/>
      <c r="AJ61" s="1"/>
      <c r="AK61" s="1"/>
      <c r="AL61" s="1"/>
      <c r="AM61" s="1"/>
      <c r="AN61" s="1"/>
      <c r="AO61" s="1"/>
      <c r="AP61" s="1"/>
      <c r="AQ61" s="1"/>
      <c r="AR61" s="1"/>
    </row>
    <row r="62" spans="1:44" ht="14.4" customHeight="1">
      <c r="A62" s="708" t="s">
        <v>107</v>
      </c>
      <c r="B62" s="637"/>
      <c r="C62" s="656" t="s">
        <v>108</v>
      </c>
      <c r="D62" s="652"/>
      <c r="E62" s="698" t="s">
        <v>109</v>
      </c>
      <c r="F62" s="652"/>
      <c r="G62" s="677" t="s">
        <v>101</v>
      </c>
      <c r="H62" s="652"/>
      <c r="I62" s="666" t="s">
        <v>101</v>
      </c>
      <c r="J62" s="652"/>
      <c r="K62" s="666" t="s">
        <v>101</v>
      </c>
      <c r="L62" s="652"/>
      <c r="M62" s="666" t="s">
        <v>101</v>
      </c>
      <c r="N62" s="652"/>
      <c r="O62" s="666" t="s">
        <v>101</v>
      </c>
      <c r="P62" s="652"/>
      <c r="Q62" s="666" t="s">
        <v>101</v>
      </c>
      <c r="R62" s="652"/>
      <c r="S62" s="666" t="s">
        <v>101</v>
      </c>
      <c r="T62" s="652"/>
      <c r="U62" s="666" t="s">
        <v>101</v>
      </c>
      <c r="V62" s="652"/>
      <c r="W62" s="677" t="s">
        <v>101</v>
      </c>
      <c r="X62" s="652"/>
      <c r="Y62" s="677" t="s">
        <v>101</v>
      </c>
      <c r="Z62" s="652"/>
      <c r="AA62" s="677" t="s">
        <v>101</v>
      </c>
      <c r="AB62" s="652"/>
      <c r="AC62" s="1"/>
      <c r="AD62" s="1"/>
      <c r="AE62" s="1"/>
      <c r="AF62" s="1"/>
      <c r="AG62" s="1"/>
      <c r="AH62" s="1"/>
      <c r="AI62" s="1"/>
      <c r="AJ62" s="1"/>
      <c r="AK62" s="1"/>
      <c r="AL62" s="1"/>
      <c r="AM62" s="1"/>
      <c r="AN62" s="1"/>
      <c r="AO62" s="1"/>
      <c r="AP62" s="1"/>
      <c r="AQ62" s="1"/>
      <c r="AR62" s="1"/>
    </row>
    <row r="63" spans="1:44" ht="14.4" customHeight="1">
      <c r="A63" s="638"/>
      <c r="B63" s="639"/>
      <c r="C63" s="655" t="s">
        <v>110</v>
      </c>
      <c r="D63" s="649"/>
      <c r="E63" s="687" t="s">
        <v>111</v>
      </c>
      <c r="F63" s="649"/>
      <c r="G63" s="648" t="s">
        <v>101</v>
      </c>
      <c r="H63" s="649"/>
      <c r="I63" s="650" t="s">
        <v>101</v>
      </c>
      <c r="J63" s="649"/>
      <c r="K63" s="650" t="s">
        <v>101</v>
      </c>
      <c r="L63" s="649"/>
      <c r="M63" s="650" t="s">
        <v>101</v>
      </c>
      <c r="N63" s="649"/>
      <c r="O63" s="650" t="s">
        <v>101</v>
      </c>
      <c r="P63" s="649"/>
      <c r="Q63" s="687" t="s">
        <v>112</v>
      </c>
      <c r="R63" s="649"/>
      <c r="S63" s="650" t="s">
        <v>101</v>
      </c>
      <c r="T63" s="649"/>
      <c r="U63" s="650" t="s">
        <v>101</v>
      </c>
      <c r="V63" s="649"/>
      <c r="W63" s="650" t="s">
        <v>101</v>
      </c>
      <c r="X63" s="649"/>
      <c r="Y63" s="650" t="s">
        <v>101</v>
      </c>
      <c r="Z63" s="649"/>
      <c r="AA63" s="648" t="s">
        <v>101</v>
      </c>
      <c r="AB63" s="649"/>
      <c r="AC63" s="1"/>
      <c r="AD63" s="1"/>
      <c r="AE63" s="1"/>
      <c r="AF63" s="1"/>
      <c r="AG63" s="1"/>
      <c r="AH63" s="1"/>
      <c r="AI63" s="1"/>
      <c r="AJ63" s="1"/>
      <c r="AK63" s="1"/>
      <c r="AL63" s="1"/>
      <c r="AM63" s="1"/>
      <c r="AN63" s="1"/>
      <c r="AO63" s="1"/>
      <c r="AP63" s="1"/>
      <c r="AQ63" s="1"/>
      <c r="AR63" s="1"/>
    </row>
    <row r="64" spans="1:44" ht="14.4" customHeight="1">
      <c r="A64" s="638"/>
      <c r="B64" s="639"/>
      <c r="C64" s="655" t="s">
        <v>113</v>
      </c>
      <c r="D64" s="649"/>
      <c r="E64" s="687" t="s">
        <v>114</v>
      </c>
      <c r="F64" s="649"/>
      <c r="G64" s="648" t="s">
        <v>101</v>
      </c>
      <c r="H64" s="649"/>
      <c r="I64" s="650" t="s">
        <v>101</v>
      </c>
      <c r="J64" s="649"/>
      <c r="K64" s="650" t="s">
        <v>101</v>
      </c>
      <c r="L64" s="649"/>
      <c r="M64" s="650" t="s">
        <v>101</v>
      </c>
      <c r="N64" s="649"/>
      <c r="O64" s="650" t="s">
        <v>101</v>
      </c>
      <c r="P64" s="649"/>
      <c r="Q64" s="650" t="s">
        <v>101</v>
      </c>
      <c r="R64" s="649"/>
      <c r="S64" s="650" t="s">
        <v>101</v>
      </c>
      <c r="T64" s="649"/>
      <c r="U64" s="650" t="s">
        <v>101</v>
      </c>
      <c r="V64" s="649"/>
      <c r="W64" s="650" t="s">
        <v>101</v>
      </c>
      <c r="X64" s="649"/>
      <c r="Y64" s="650" t="s">
        <v>101</v>
      </c>
      <c r="Z64" s="649"/>
      <c r="AA64" s="648" t="s">
        <v>101</v>
      </c>
      <c r="AB64" s="649"/>
      <c r="AC64" s="1"/>
      <c r="AD64" s="1"/>
      <c r="AE64" s="1"/>
      <c r="AF64" s="1"/>
      <c r="AG64" s="1"/>
      <c r="AH64" s="1"/>
      <c r="AI64" s="1"/>
      <c r="AJ64" s="1"/>
      <c r="AK64" s="1"/>
      <c r="AL64" s="1"/>
      <c r="AM64" s="1"/>
      <c r="AN64" s="1"/>
      <c r="AO64" s="1"/>
      <c r="AP64" s="1"/>
      <c r="AQ64" s="1"/>
      <c r="AR64" s="1"/>
    </row>
    <row r="65" spans="1:44" ht="14.4" customHeight="1">
      <c r="A65" s="638"/>
      <c r="B65" s="639"/>
      <c r="C65" s="655" t="s">
        <v>115</v>
      </c>
      <c r="D65" s="649"/>
      <c r="E65" s="687" t="s">
        <v>116</v>
      </c>
      <c r="F65" s="649"/>
      <c r="G65" s="648" t="s">
        <v>101</v>
      </c>
      <c r="H65" s="649"/>
      <c r="I65" s="650" t="s">
        <v>101</v>
      </c>
      <c r="J65" s="649"/>
      <c r="K65" s="650" t="s">
        <v>101</v>
      </c>
      <c r="L65" s="649"/>
      <c r="M65" s="650" t="s">
        <v>101</v>
      </c>
      <c r="N65" s="649"/>
      <c r="O65" s="650" t="s">
        <v>101</v>
      </c>
      <c r="P65" s="649"/>
      <c r="Q65" s="650" t="s">
        <v>101</v>
      </c>
      <c r="R65" s="649"/>
      <c r="S65" s="650" t="s">
        <v>101</v>
      </c>
      <c r="T65" s="649"/>
      <c r="U65" s="650" t="s">
        <v>101</v>
      </c>
      <c r="V65" s="649"/>
      <c r="W65" s="650" t="s">
        <v>101</v>
      </c>
      <c r="X65" s="649"/>
      <c r="Y65" s="650" t="s">
        <v>101</v>
      </c>
      <c r="Z65" s="649"/>
      <c r="AA65" s="648" t="s">
        <v>101</v>
      </c>
      <c r="AB65" s="649"/>
      <c r="AC65" s="1"/>
      <c r="AD65" s="1"/>
      <c r="AE65" s="1"/>
      <c r="AF65" s="1"/>
      <c r="AG65" s="1"/>
      <c r="AH65" s="1"/>
      <c r="AI65" s="1"/>
      <c r="AJ65" s="1"/>
      <c r="AK65" s="1"/>
      <c r="AL65" s="1"/>
      <c r="AM65" s="1"/>
      <c r="AN65" s="1"/>
      <c r="AO65" s="1"/>
      <c r="AP65" s="1"/>
      <c r="AQ65" s="1"/>
      <c r="AR65" s="1"/>
    </row>
    <row r="66" spans="1:44" ht="14.4" customHeight="1">
      <c r="A66" s="638"/>
      <c r="B66" s="639"/>
      <c r="C66" s="655">
        <v>0</v>
      </c>
      <c r="D66" s="649"/>
      <c r="E66" s="650" t="s">
        <v>101</v>
      </c>
      <c r="F66" s="649"/>
      <c r="G66" s="648" t="s">
        <v>101</v>
      </c>
      <c r="H66" s="649"/>
      <c r="I66" s="650" t="s">
        <v>101</v>
      </c>
      <c r="J66" s="649"/>
      <c r="K66" s="650" t="s">
        <v>101</v>
      </c>
      <c r="L66" s="649"/>
      <c r="M66" s="650" t="s">
        <v>101</v>
      </c>
      <c r="N66" s="649"/>
      <c r="O66" s="650" t="s">
        <v>101</v>
      </c>
      <c r="P66" s="649"/>
      <c r="Q66" s="650" t="s">
        <v>101</v>
      </c>
      <c r="R66" s="649"/>
      <c r="S66" s="650" t="s">
        <v>101</v>
      </c>
      <c r="T66" s="649"/>
      <c r="U66" s="650" t="s">
        <v>101</v>
      </c>
      <c r="V66" s="649"/>
      <c r="W66" s="648" t="s">
        <v>101</v>
      </c>
      <c r="X66" s="649"/>
      <c r="Y66" s="648" t="s">
        <v>101</v>
      </c>
      <c r="Z66" s="649"/>
      <c r="AA66" s="648" t="s">
        <v>101</v>
      </c>
      <c r="AB66" s="649"/>
      <c r="AC66" s="1"/>
      <c r="AD66" s="1"/>
      <c r="AE66" s="1"/>
      <c r="AF66" s="1"/>
      <c r="AG66" s="1"/>
      <c r="AH66" s="1"/>
      <c r="AI66" s="1"/>
      <c r="AJ66" s="1"/>
      <c r="AK66" s="1"/>
      <c r="AL66" s="1"/>
      <c r="AM66" s="1"/>
      <c r="AN66" s="1"/>
      <c r="AO66" s="1"/>
      <c r="AP66" s="1"/>
      <c r="AQ66" s="1"/>
      <c r="AR66" s="1"/>
    </row>
    <row r="67" spans="1:44" ht="14.4" customHeight="1">
      <c r="A67" s="638"/>
      <c r="B67" s="639"/>
      <c r="C67" s="655">
        <v>0</v>
      </c>
      <c r="D67" s="649"/>
      <c r="E67" s="650" t="s">
        <v>101</v>
      </c>
      <c r="F67" s="649"/>
      <c r="G67" s="648" t="s">
        <v>101</v>
      </c>
      <c r="H67" s="649"/>
      <c r="I67" s="650" t="s">
        <v>101</v>
      </c>
      <c r="J67" s="649"/>
      <c r="K67" s="650" t="s">
        <v>101</v>
      </c>
      <c r="L67" s="649"/>
      <c r="M67" s="650" t="s">
        <v>101</v>
      </c>
      <c r="N67" s="649"/>
      <c r="O67" s="650" t="s">
        <v>101</v>
      </c>
      <c r="P67" s="649"/>
      <c r="Q67" s="650" t="s">
        <v>101</v>
      </c>
      <c r="R67" s="649"/>
      <c r="S67" s="650" t="s">
        <v>101</v>
      </c>
      <c r="T67" s="649"/>
      <c r="U67" s="650" t="s">
        <v>101</v>
      </c>
      <c r="V67" s="649"/>
      <c r="W67" s="648" t="s">
        <v>101</v>
      </c>
      <c r="X67" s="649"/>
      <c r="Y67" s="648" t="s">
        <v>101</v>
      </c>
      <c r="Z67" s="649"/>
      <c r="AA67" s="648" t="s">
        <v>101</v>
      </c>
      <c r="AB67" s="649"/>
      <c r="AC67" s="1"/>
      <c r="AD67" s="1"/>
      <c r="AE67" s="1"/>
      <c r="AF67" s="1"/>
      <c r="AG67" s="1"/>
      <c r="AH67" s="1"/>
      <c r="AI67" s="1"/>
      <c r="AJ67" s="1"/>
      <c r="AK67" s="1"/>
      <c r="AL67" s="1"/>
      <c r="AM67" s="1"/>
      <c r="AN67" s="1"/>
      <c r="AO67" s="1"/>
      <c r="AP67" s="1"/>
      <c r="AQ67" s="1"/>
      <c r="AR67" s="1"/>
    </row>
    <row r="68" spans="1:44" ht="14.4" customHeight="1">
      <c r="A68" s="638"/>
      <c r="B68" s="639"/>
      <c r="C68" s="667">
        <v>0</v>
      </c>
      <c r="D68" s="662"/>
      <c r="E68" s="704" t="s">
        <v>101</v>
      </c>
      <c r="F68" s="669"/>
      <c r="G68" s="690" t="s">
        <v>101</v>
      </c>
      <c r="H68" s="669"/>
      <c r="I68" s="704" t="s">
        <v>101</v>
      </c>
      <c r="J68" s="669"/>
      <c r="K68" s="704" t="s">
        <v>101</v>
      </c>
      <c r="L68" s="669"/>
      <c r="M68" s="704" t="s">
        <v>101</v>
      </c>
      <c r="N68" s="669"/>
      <c r="O68" s="704" t="s">
        <v>101</v>
      </c>
      <c r="P68" s="669"/>
      <c r="Q68" s="704" t="s">
        <v>101</v>
      </c>
      <c r="R68" s="669"/>
      <c r="S68" s="704" t="s">
        <v>101</v>
      </c>
      <c r="T68" s="669"/>
      <c r="U68" s="704" t="s">
        <v>101</v>
      </c>
      <c r="V68" s="669"/>
      <c r="W68" s="690" t="s">
        <v>101</v>
      </c>
      <c r="X68" s="669"/>
      <c r="Y68" s="690" t="s">
        <v>101</v>
      </c>
      <c r="Z68" s="669"/>
      <c r="AA68" s="663" t="s">
        <v>101</v>
      </c>
      <c r="AB68" s="662"/>
      <c r="AC68" s="1"/>
      <c r="AD68" s="1"/>
      <c r="AE68" s="1"/>
      <c r="AF68" s="1"/>
      <c r="AG68" s="1"/>
      <c r="AH68" s="1"/>
      <c r="AI68" s="1"/>
      <c r="AJ68" s="1"/>
      <c r="AK68" s="1"/>
      <c r="AL68" s="1"/>
      <c r="AM68" s="1"/>
      <c r="AN68" s="1"/>
      <c r="AO68" s="1"/>
      <c r="AP68" s="1"/>
      <c r="AQ68" s="1"/>
      <c r="AR68" s="1"/>
    </row>
    <row r="69" spans="1:44" ht="14.4" customHeight="1">
      <c r="A69" s="678" t="s">
        <v>117</v>
      </c>
      <c r="B69" s="637"/>
      <c r="C69" s="672" t="s">
        <v>118</v>
      </c>
      <c r="D69" s="673"/>
      <c r="E69" s="653" t="s">
        <v>119</v>
      </c>
      <c r="F69" s="652"/>
      <c r="G69" s="653" t="s">
        <v>101</v>
      </c>
      <c r="H69" s="652"/>
      <c r="I69" s="653" t="s">
        <v>101</v>
      </c>
      <c r="J69" s="652"/>
      <c r="K69" s="653" t="s">
        <v>119</v>
      </c>
      <c r="L69" s="652"/>
      <c r="M69" s="656" t="s">
        <v>101</v>
      </c>
      <c r="N69" s="652"/>
      <c r="O69" s="656" t="s">
        <v>101</v>
      </c>
      <c r="P69" s="652"/>
      <c r="Q69" s="653" t="s">
        <v>119</v>
      </c>
      <c r="R69" s="652"/>
      <c r="S69" s="656" t="s">
        <v>101</v>
      </c>
      <c r="T69" s="652"/>
      <c r="U69" s="656" t="s">
        <v>101</v>
      </c>
      <c r="V69" s="652"/>
      <c r="W69" s="656" t="s">
        <v>119</v>
      </c>
      <c r="X69" s="652"/>
      <c r="Y69" s="656" t="s">
        <v>101</v>
      </c>
      <c r="Z69" s="652"/>
      <c r="AA69" s="656" t="s">
        <v>101</v>
      </c>
      <c r="AB69" s="652"/>
      <c r="AC69" s="151"/>
      <c r="AD69" s="1"/>
      <c r="AE69" s="1"/>
      <c r="AF69" s="1"/>
      <c r="AG69" s="1"/>
      <c r="AH69" s="1"/>
      <c r="AI69" s="1"/>
      <c r="AJ69" s="1"/>
      <c r="AK69" s="1"/>
      <c r="AL69" s="1"/>
      <c r="AM69" s="1"/>
      <c r="AN69" s="1"/>
      <c r="AO69" s="1"/>
      <c r="AP69" s="1"/>
      <c r="AQ69" s="1"/>
      <c r="AR69" s="1"/>
    </row>
    <row r="70" spans="1:44" ht="14.4" customHeight="1">
      <c r="A70" s="638"/>
      <c r="B70" s="639"/>
      <c r="C70" s="655" t="s">
        <v>120</v>
      </c>
      <c r="D70" s="649"/>
      <c r="E70" s="658" t="s">
        <v>121</v>
      </c>
      <c r="F70" s="649"/>
      <c r="G70" s="658" t="s">
        <v>101</v>
      </c>
      <c r="H70" s="649"/>
      <c r="I70" s="655" t="s">
        <v>101</v>
      </c>
      <c r="J70" s="649"/>
      <c r="K70" s="658" t="s">
        <v>121</v>
      </c>
      <c r="L70" s="649"/>
      <c r="M70" s="655" t="s">
        <v>101</v>
      </c>
      <c r="N70" s="649"/>
      <c r="O70" s="655" t="s">
        <v>101</v>
      </c>
      <c r="P70" s="649"/>
      <c r="Q70" s="658" t="s">
        <v>121</v>
      </c>
      <c r="R70" s="649"/>
      <c r="S70" s="655" t="s">
        <v>101</v>
      </c>
      <c r="T70" s="649"/>
      <c r="U70" s="655" t="s">
        <v>101</v>
      </c>
      <c r="V70" s="649"/>
      <c r="W70" s="655" t="s">
        <v>121</v>
      </c>
      <c r="X70" s="649"/>
      <c r="Y70" s="655" t="s">
        <v>101</v>
      </c>
      <c r="Z70" s="649"/>
      <c r="AA70" s="655" t="s">
        <v>101</v>
      </c>
      <c r="AB70" s="649"/>
      <c r="AC70" s="151"/>
      <c r="AD70" s="1"/>
      <c r="AE70" s="1"/>
      <c r="AF70" s="1"/>
      <c r="AG70" s="1"/>
      <c r="AH70" s="1"/>
      <c r="AI70" s="1"/>
      <c r="AJ70" s="1"/>
      <c r="AK70" s="1"/>
      <c r="AL70" s="1"/>
      <c r="AM70" s="1"/>
      <c r="AN70" s="1"/>
      <c r="AO70" s="1"/>
      <c r="AP70" s="1"/>
      <c r="AQ70" s="1"/>
      <c r="AR70" s="1"/>
    </row>
    <row r="71" spans="1:44" ht="14.4" customHeight="1">
      <c r="A71" s="638"/>
      <c r="B71" s="639"/>
      <c r="C71" s="655" t="s">
        <v>122</v>
      </c>
      <c r="D71" s="649"/>
      <c r="E71" s="658" t="s">
        <v>123</v>
      </c>
      <c r="F71" s="649"/>
      <c r="G71" s="658" t="s">
        <v>101</v>
      </c>
      <c r="H71" s="649"/>
      <c r="I71" s="655" t="s">
        <v>101</v>
      </c>
      <c r="J71" s="649"/>
      <c r="K71" s="655" t="s">
        <v>123</v>
      </c>
      <c r="L71" s="649"/>
      <c r="M71" s="655" t="s">
        <v>101</v>
      </c>
      <c r="N71" s="649"/>
      <c r="O71" s="655" t="s">
        <v>101</v>
      </c>
      <c r="P71" s="649"/>
      <c r="Q71" s="658" t="s">
        <v>123</v>
      </c>
      <c r="R71" s="649"/>
      <c r="S71" s="655" t="s">
        <v>101</v>
      </c>
      <c r="T71" s="649"/>
      <c r="U71" s="655" t="s">
        <v>101</v>
      </c>
      <c r="V71" s="649"/>
      <c r="W71" s="655" t="s">
        <v>123</v>
      </c>
      <c r="X71" s="649"/>
      <c r="Y71" s="655" t="s">
        <v>101</v>
      </c>
      <c r="Z71" s="649"/>
      <c r="AA71" s="655" t="s">
        <v>101</v>
      </c>
      <c r="AB71" s="649"/>
      <c r="AC71" s="151"/>
      <c r="AD71" s="1"/>
      <c r="AE71" s="1"/>
      <c r="AF71" s="1"/>
      <c r="AG71" s="1"/>
      <c r="AH71" s="1"/>
      <c r="AI71" s="1"/>
      <c r="AJ71" s="1"/>
      <c r="AK71" s="1"/>
      <c r="AL71" s="1"/>
      <c r="AM71" s="1"/>
      <c r="AN71" s="1"/>
      <c r="AO71" s="1"/>
      <c r="AP71" s="1"/>
      <c r="AQ71" s="1"/>
      <c r="AR71" s="1"/>
    </row>
    <row r="72" spans="1:44" ht="14.4" customHeight="1">
      <c r="A72" s="638"/>
      <c r="B72" s="639"/>
      <c r="C72" s="655" t="s">
        <v>124</v>
      </c>
      <c r="D72" s="649"/>
      <c r="E72" s="658" t="s">
        <v>125</v>
      </c>
      <c r="F72" s="649"/>
      <c r="G72" s="658" t="s">
        <v>101</v>
      </c>
      <c r="H72" s="649"/>
      <c r="I72" s="655" t="s">
        <v>101</v>
      </c>
      <c r="J72" s="649"/>
      <c r="K72" s="655" t="s">
        <v>125</v>
      </c>
      <c r="L72" s="649"/>
      <c r="M72" s="655" t="s">
        <v>101</v>
      </c>
      <c r="N72" s="649"/>
      <c r="O72" s="655" t="s">
        <v>101</v>
      </c>
      <c r="P72" s="649"/>
      <c r="Q72" s="658" t="s">
        <v>125</v>
      </c>
      <c r="R72" s="649"/>
      <c r="S72" s="655" t="s">
        <v>101</v>
      </c>
      <c r="T72" s="649"/>
      <c r="U72" s="655" t="s">
        <v>101</v>
      </c>
      <c r="V72" s="649"/>
      <c r="W72" s="655" t="s">
        <v>125</v>
      </c>
      <c r="X72" s="649"/>
      <c r="Y72" s="655" t="s">
        <v>101</v>
      </c>
      <c r="Z72" s="649"/>
      <c r="AA72" s="655" t="s">
        <v>101</v>
      </c>
      <c r="AB72" s="649"/>
      <c r="AC72" s="151"/>
      <c r="AD72" s="1"/>
      <c r="AE72" s="1"/>
      <c r="AF72" s="1"/>
      <c r="AG72" s="1"/>
      <c r="AH72" s="1"/>
      <c r="AI72" s="1"/>
      <c r="AJ72" s="1"/>
      <c r="AK72" s="1"/>
      <c r="AL72" s="1"/>
      <c r="AM72" s="1"/>
      <c r="AN72" s="1"/>
      <c r="AO72" s="1"/>
      <c r="AP72" s="1"/>
      <c r="AQ72" s="1"/>
      <c r="AR72" s="1"/>
    </row>
    <row r="73" spans="1:44" ht="14.4" customHeight="1">
      <c r="A73" s="638"/>
      <c r="B73" s="639"/>
      <c r="C73" s="655"/>
      <c r="D73" s="649"/>
      <c r="E73" s="658"/>
      <c r="F73" s="649"/>
      <c r="G73" s="658"/>
      <c r="H73" s="649"/>
      <c r="I73" s="655"/>
      <c r="J73" s="649"/>
      <c r="K73" s="655"/>
      <c r="L73" s="649"/>
      <c r="M73" s="655"/>
      <c r="N73" s="649"/>
      <c r="O73" s="655"/>
      <c r="P73" s="649"/>
      <c r="Q73" s="658"/>
      <c r="R73" s="649"/>
      <c r="S73" s="655"/>
      <c r="T73" s="649"/>
      <c r="U73" s="655"/>
      <c r="V73" s="649"/>
      <c r="W73" s="655"/>
      <c r="X73" s="649"/>
      <c r="Y73" s="655"/>
      <c r="Z73" s="649"/>
      <c r="AA73" s="655"/>
      <c r="AB73" s="649"/>
      <c r="AC73" s="151"/>
      <c r="AD73" s="1"/>
      <c r="AE73" s="1"/>
      <c r="AF73" s="1"/>
      <c r="AG73" s="1"/>
      <c r="AH73" s="1"/>
      <c r="AI73" s="1"/>
      <c r="AJ73" s="1"/>
      <c r="AK73" s="1"/>
      <c r="AL73" s="1"/>
      <c r="AM73" s="1"/>
      <c r="AN73" s="1"/>
      <c r="AO73" s="1"/>
      <c r="AP73" s="1"/>
      <c r="AQ73" s="1"/>
      <c r="AR73" s="1"/>
    </row>
    <row r="74" spans="1:44" ht="14.4" customHeight="1">
      <c r="A74" s="640"/>
      <c r="B74" s="642"/>
      <c r="C74" s="667"/>
      <c r="D74" s="662"/>
      <c r="E74" s="694"/>
      <c r="F74" s="662"/>
      <c r="G74" s="694"/>
      <c r="H74" s="662"/>
      <c r="I74" s="667"/>
      <c r="J74" s="662"/>
      <c r="K74" s="667"/>
      <c r="L74" s="662"/>
      <c r="M74" s="667"/>
      <c r="N74" s="662"/>
      <c r="O74" s="667"/>
      <c r="P74" s="662"/>
      <c r="Q74" s="694"/>
      <c r="R74" s="662"/>
      <c r="S74" s="667"/>
      <c r="T74" s="662"/>
      <c r="U74" s="667"/>
      <c r="V74" s="662"/>
      <c r="W74" s="667"/>
      <c r="X74" s="662"/>
      <c r="Y74" s="667"/>
      <c r="Z74" s="662"/>
      <c r="AA74" s="667"/>
      <c r="AB74" s="662"/>
      <c r="AC74" s="151"/>
      <c r="AD74" s="1"/>
      <c r="AE74" s="1"/>
      <c r="AF74" s="1"/>
      <c r="AG74" s="1"/>
      <c r="AH74" s="1"/>
      <c r="AI74" s="1"/>
      <c r="AJ74" s="1"/>
      <c r="AK74" s="1"/>
      <c r="AL74" s="1"/>
      <c r="AM74" s="1"/>
      <c r="AN74" s="1"/>
      <c r="AO74" s="1"/>
      <c r="AP74" s="1"/>
      <c r="AQ74" s="1"/>
      <c r="AR74" s="1"/>
    </row>
    <row r="75" spans="1:44" ht="25.95" customHeight="1">
      <c r="A75" s="152"/>
      <c r="B75" s="152"/>
      <c r="C75" s="13"/>
      <c r="D75" s="153"/>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c r="AC75" s="1"/>
      <c r="AD75" s="1"/>
      <c r="AE75" s="1"/>
      <c r="AF75" s="1"/>
      <c r="AG75" s="1"/>
      <c r="AH75" s="1"/>
      <c r="AI75" s="1"/>
      <c r="AJ75" s="1"/>
      <c r="AK75" s="1"/>
      <c r="AL75" s="1"/>
      <c r="AM75" s="1"/>
      <c r="AN75" s="1"/>
      <c r="AO75" s="1"/>
      <c r="AP75" s="1"/>
      <c r="AQ75" s="1"/>
      <c r="AR75" s="1"/>
    </row>
    <row r="76" spans="1:44" ht="25.95" customHeight="1">
      <c r="A76" s="155"/>
      <c r="B76" s="155"/>
      <c r="C76" s="156"/>
      <c r="D76" s="157"/>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6"/>
      <c r="AD76" s="156"/>
      <c r="AE76" s="156"/>
      <c r="AF76" s="156"/>
      <c r="AG76" s="156"/>
      <c r="AH76" s="156"/>
      <c r="AI76" s="156"/>
      <c r="AJ76" s="156"/>
      <c r="AK76" s="156"/>
      <c r="AL76" s="156"/>
      <c r="AM76" s="156"/>
      <c r="AN76" s="156"/>
      <c r="AO76" s="156"/>
      <c r="AP76" s="156"/>
      <c r="AQ76" s="156"/>
      <c r="AR76" s="1"/>
    </row>
    <row r="77" spans="1:44"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row>
    <row r="78" spans="1:44" ht="25.95" customHeight="1">
      <c r="A78" s="681" t="s">
        <v>126</v>
      </c>
      <c r="B78" s="620"/>
      <c r="C78" s="620"/>
      <c r="D78" s="620"/>
      <c r="E78" s="620"/>
      <c r="F78" s="620"/>
      <c r="G78" s="620"/>
      <c r="H78" s="620"/>
      <c r="I78" s="620"/>
      <c r="J78" s="620"/>
      <c r="K78" s="620"/>
      <c r="L78" s="620"/>
      <c r="M78" s="620"/>
      <c r="N78" s="620"/>
      <c r="O78" s="620"/>
      <c r="P78" s="620"/>
      <c r="Q78" s="620"/>
      <c r="R78" s="620"/>
      <c r="S78" s="620"/>
      <c r="T78" s="620"/>
      <c r="U78" s="620"/>
      <c r="V78" s="620"/>
      <c r="W78" s="620"/>
      <c r="X78" s="620"/>
      <c r="Y78" s="620"/>
      <c r="Z78" s="620"/>
      <c r="AA78" s="620"/>
      <c r="AB78" s="621"/>
      <c r="AC78" s="1"/>
      <c r="AD78" s="1"/>
      <c r="AE78" s="1"/>
      <c r="AF78" s="1"/>
      <c r="AG78" s="1"/>
      <c r="AH78" s="1"/>
      <c r="AI78" s="1"/>
      <c r="AJ78" s="1"/>
      <c r="AK78" s="1"/>
      <c r="AL78" s="1"/>
      <c r="AM78" s="1"/>
      <c r="AN78" s="1"/>
      <c r="AO78" s="1"/>
      <c r="AP78" s="1"/>
      <c r="AQ78" s="1"/>
      <c r="AR78" s="1"/>
    </row>
    <row r="79" spans="1:44" ht="14.4" customHeight="1">
      <c r="A79" s="720" t="s">
        <v>77</v>
      </c>
      <c r="B79" s="691" t="s">
        <v>55</v>
      </c>
      <c r="C79" s="679" t="s">
        <v>78</v>
      </c>
      <c r="D79" s="652"/>
      <c r="E79" s="651" t="s">
        <v>79</v>
      </c>
      <c r="F79" s="652"/>
      <c r="G79" s="651" t="s">
        <v>80</v>
      </c>
      <c r="H79" s="652"/>
      <c r="I79" s="651" t="s">
        <v>81</v>
      </c>
      <c r="J79" s="652"/>
      <c r="K79" s="651" t="s">
        <v>82</v>
      </c>
      <c r="L79" s="652"/>
      <c r="M79" s="651" t="s">
        <v>83</v>
      </c>
      <c r="N79" s="652"/>
      <c r="O79" s="651" t="s">
        <v>84</v>
      </c>
      <c r="P79" s="652"/>
      <c r="Q79" s="651" t="s">
        <v>85</v>
      </c>
      <c r="R79" s="652"/>
      <c r="S79" s="651" t="s">
        <v>86</v>
      </c>
      <c r="T79" s="652"/>
      <c r="U79" s="651" t="s">
        <v>87</v>
      </c>
      <c r="V79" s="652"/>
      <c r="W79" s="651" t="s">
        <v>88</v>
      </c>
      <c r="X79" s="652"/>
      <c r="Y79" s="651" t="s">
        <v>89</v>
      </c>
      <c r="Z79" s="652"/>
      <c r="AA79" s="651" t="s">
        <v>90</v>
      </c>
      <c r="AB79" s="652"/>
      <c r="AC79" s="1"/>
      <c r="AD79" s="1"/>
      <c r="AE79" s="1"/>
      <c r="AF79" s="1"/>
      <c r="AG79" s="1"/>
      <c r="AH79" s="1"/>
      <c r="AI79" s="1"/>
      <c r="AJ79" s="1"/>
      <c r="AK79" s="1"/>
      <c r="AL79" s="1"/>
      <c r="AM79" s="1"/>
      <c r="AN79" s="1"/>
      <c r="AO79" s="1"/>
      <c r="AP79" s="1"/>
      <c r="AQ79" s="1"/>
      <c r="AR79" s="1"/>
    </row>
    <row r="80" spans="1:44" ht="14.4" customHeight="1">
      <c r="A80" s="638"/>
      <c r="B80" s="671"/>
      <c r="C80" s="685" t="s">
        <v>34</v>
      </c>
      <c r="D80" s="716" t="s">
        <v>91</v>
      </c>
      <c r="E80" s="657">
        <f>F95/$D$95</f>
        <v>5.3570074560849237E-2</v>
      </c>
      <c r="F80" s="649"/>
      <c r="G80" s="657">
        <f>H95/$D$95</f>
        <v>5.8258561860229999E-2</v>
      </c>
      <c r="H80" s="649"/>
      <c r="I80" s="657">
        <f>J95/$D$95</f>
        <v>6.2947049159610774E-2</v>
      </c>
      <c r="J80" s="649"/>
      <c r="K80" s="657">
        <f>L95/$D$95</f>
        <v>6.7635536458991535E-2</v>
      </c>
      <c r="L80" s="649"/>
      <c r="M80" s="657">
        <f>N95/$D$95</f>
        <v>7.2324023758372297E-2</v>
      </c>
      <c r="N80" s="649"/>
      <c r="O80" s="657">
        <f>P95/$D$95</f>
        <v>8.1170226210034127E-2</v>
      </c>
      <c r="P80" s="649"/>
      <c r="Q80" s="657">
        <f>R95/$D$95</f>
        <v>8.3824086945532672E-2</v>
      </c>
      <c r="R80" s="649"/>
      <c r="S80" s="657">
        <f>T95/$D$95</f>
        <v>9.3036774927334767E-2</v>
      </c>
      <c r="T80" s="649"/>
      <c r="U80" s="657">
        <f>V95/$D$95</f>
        <v>9.4932389738405162E-2</v>
      </c>
      <c r="V80" s="649"/>
      <c r="W80" s="657">
        <f>X95/$D$95</f>
        <v>0.10414507772020726</v>
      </c>
      <c r="X80" s="649"/>
      <c r="Y80" s="657">
        <f>Z95/$D$95</f>
        <v>0.11070390496651081</v>
      </c>
      <c r="Z80" s="649"/>
      <c r="AA80" s="657">
        <f>AB95/$D$95</f>
        <v>0.11745229369392139</v>
      </c>
      <c r="AB80" s="649"/>
      <c r="AC80" s="151"/>
      <c r="AD80" s="1"/>
      <c r="AE80" s="1"/>
      <c r="AF80" s="1"/>
      <c r="AG80" s="1"/>
      <c r="AH80" s="1"/>
      <c r="AI80" s="1"/>
      <c r="AJ80" s="1"/>
      <c r="AK80" s="1"/>
      <c r="AL80" s="1"/>
      <c r="AM80" s="1"/>
      <c r="AN80" s="1"/>
      <c r="AO80" s="1"/>
      <c r="AP80" s="1"/>
      <c r="AQ80" s="1"/>
      <c r="AR80" s="1"/>
    </row>
    <row r="81" spans="1:44" ht="14.4" customHeight="1">
      <c r="A81" s="640"/>
      <c r="B81" s="675"/>
      <c r="C81" s="686"/>
      <c r="D81" s="717"/>
      <c r="E81" s="159" t="s">
        <v>34</v>
      </c>
      <c r="F81" s="160" t="s">
        <v>91</v>
      </c>
      <c r="G81" s="159" t="s">
        <v>34</v>
      </c>
      <c r="H81" s="160" t="s">
        <v>91</v>
      </c>
      <c r="I81" s="159" t="s">
        <v>34</v>
      </c>
      <c r="J81" s="160" t="s">
        <v>91</v>
      </c>
      <c r="K81" s="159" t="s">
        <v>34</v>
      </c>
      <c r="L81" s="160" t="s">
        <v>91</v>
      </c>
      <c r="M81" s="159" t="s">
        <v>34</v>
      </c>
      <c r="N81" s="160" t="s">
        <v>91</v>
      </c>
      <c r="O81" s="159" t="s">
        <v>34</v>
      </c>
      <c r="P81" s="160" t="s">
        <v>91</v>
      </c>
      <c r="Q81" s="159" t="s">
        <v>34</v>
      </c>
      <c r="R81" s="160" t="s">
        <v>91</v>
      </c>
      <c r="S81" s="65" t="s">
        <v>34</v>
      </c>
      <c r="T81" s="66" t="s">
        <v>91</v>
      </c>
      <c r="U81" s="65" t="s">
        <v>34</v>
      </c>
      <c r="V81" s="66" t="s">
        <v>91</v>
      </c>
      <c r="W81" s="65" t="s">
        <v>34</v>
      </c>
      <c r="X81" s="66" t="s">
        <v>91</v>
      </c>
      <c r="Y81" s="65" t="s">
        <v>34</v>
      </c>
      <c r="Z81" s="66" t="s">
        <v>91</v>
      </c>
      <c r="AA81" s="65" t="s">
        <v>34</v>
      </c>
      <c r="AB81" s="66" t="s">
        <v>91</v>
      </c>
      <c r="AC81" s="1"/>
      <c r="AD81" s="1"/>
      <c r="AE81" s="1"/>
      <c r="AF81" s="1"/>
      <c r="AG81" s="1"/>
      <c r="AH81" s="1"/>
      <c r="AI81" s="1"/>
      <c r="AJ81" s="1"/>
      <c r="AK81" s="1"/>
      <c r="AL81" s="1"/>
      <c r="AM81" s="1"/>
      <c r="AN81" s="1"/>
      <c r="AO81" s="1"/>
      <c r="AP81" s="1"/>
      <c r="AQ81" s="1"/>
      <c r="AR81" s="1"/>
    </row>
    <row r="82" spans="1:44" ht="15.6" customHeight="1">
      <c r="A82" s="67" t="str">
        <f>Hipótesis!$B$58</f>
        <v>Alta e instalación Plan Básico</v>
      </c>
      <c r="B82" s="161">
        <f>Hipótesis!C58</f>
        <v>25</v>
      </c>
      <c r="C82" s="69">
        <f t="shared" ref="C82:C87" si="2">E82+G82+I82+K82+M82+O82+Q82+S82+U82+W82+Y82+AA82</f>
        <v>51</v>
      </c>
      <c r="D82" s="162">
        <f t="shared" ref="D82:D87" si="3">B82*C82</f>
        <v>1275</v>
      </c>
      <c r="E82" s="71">
        <v>4</v>
      </c>
      <c r="F82" s="72">
        <f>E82*$B$82</f>
        <v>100</v>
      </c>
      <c r="G82" s="71">
        <v>4</v>
      </c>
      <c r="H82" s="72">
        <f>G82*$B$82</f>
        <v>100</v>
      </c>
      <c r="I82" s="71">
        <v>4</v>
      </c>
      <c r="J82" s="72">
        <f>I82*$B$82</f>
        <v>100</v>
      </c>
      <c r="K82" s="71">
        <v>4</v>
      </c>
      <c r="L82" s="72">
        <f>K82*$B$82</f>
        <v>100</v>
      </c>
      <c r="M82" s="71">
        <v>4</v>
      </c>
      <c r="N82" s="72">
        <f>M82*$B$82</f>
        <v>100</v>
      </c>
      <c r="O82" s="71">
        <v>4</v>
      </c>
      <c r="P82" s="72">
        <f>O82*$B$82</f>
        <v>100</v>
      </c>
      <c r="Q82" s="71">
        <v>4</v>
      </c>
      <c r="R82" s="72">
        <f>Q82*$B$82</f>
        <v>100</v>
      </c>
      <c r="S82" s="71">
        <v>4</v>
      </c>
      <c r="T82" s="72">
        <f>S82*$B$82</f>
        <v>100</v>
      </c>
      <c r="U82" s="71">
        <v>4</v>
      </c>
      <c r="V82" s="72">
        <f>U82*$B$82</f>
        <v>100</v>
      </c>
      <c r="W82" s="71">
        <v>4</v>
      </c>
      <c r="X82" s="72">
        <f>W82*$B$82</f>
        <v>100</v>
      </c>
      <c r="Y82" s="71">
        <v>5</v>
      </c>
      <c r="Z82" s="72">
        <f>Y82*$B$82</f>
        <v>125</v>
      </c>
      <c r="AA82" s="71">
        <v>6</v>
      </c>
      <c r="AB82" s="72">
        <f>AA82*$B$82</f>
        <v>150</v>
      </c>
      <c r="AC82" s="1"/>
      <c r="AD82" s="1"/>
      <c r="AE82" s="1"/>
      <c r="AF82" s="1"/>
      <c r="AG82" s="1"/>
      <c r="AH82" s="1"/>
      <c r="AI82" s="1"/>
      <c r="AJ82" s="1"/>
      <c r="AK82" s="1"/>
      <c r="AL82" s="1"/>
      <c r="AM82" s="1"/>
      <c r="AN82" s="1"/>
      <c r="AO82" s="1"/>
      <c r="AP82" s="1"/>
      <c r="AQ82" s="1"/>
      <c r="AR82" s="1"/>
    </row>
    <row r="83" spans="1:44" ht="15.6" customHeight="1">
      <c r="A83" s="67" t="str">
        <f>Hipótesis!$B$59</f>
        <v>Alta e instalación Plan Vidriera</v>
      </c>
      <c r="B83" s="163">
        <f>Hipótesis!C59</f>
        <v>60</v>
      </c>
      <c r="C83" s="74">
        <f t="shared" si="2"/>
        <v>102</v>
      </c>
      <c r="D83" s="76">
        <f t="shared" si="3"/>
        <v>6120</v>
      </c>
      <c r="E83" s="74">
        <v>8</v>
      </c>
      <c r="F83" s="76">
        <f>E83*$B$83</f>
        <v>480</v>
      </c>
      <c r="G83" s="74">
        <v>8</v>
      </c>
      <c r="H83" s="76">
        <f>G83*$B$83</f>
        <v>480</v>
      </c>
      <c r="I83" s="74">
        <v>8</v>
      </c>
      <c r="J83" s="76">
        <f>I83*$B$83</f>
        <v>480</v>
      </c>
      <c r="K83" s="74">
        <v>8</v>
      </c>
      <c r="L83" s="76">
        <f>K83*$B$83</f>
        <v>480</v>
      </c>
      <c r="M83" s="74">
        <v>8</v>
      </c>
      <c r="N83" s="76">
        <f>M83*$B$83</f>
        <v>480</v>
      </c>
      <c r="O83" s="74">
        <v>8</v>
      </c>
      <c r="P83" s="76">
        <f>O83*$B$83</f>
        <v>480</v>
      </c>
      <c r="Q83" s="74">
        <v>9</v>
      </c>
      <c r="R83" s="76">
        <f>Q83*$B$83</f>
        <v>540</v>
      </c>
      <c r="S83" s="74">
        <v>9</v>
      </c>
      <c r="T83" s="76">
        <f>S83*$B$83</f>
        <v>540</v>
      </c>
      <c r="U83" s="74">
        <v>9</v>
      </c>
      <c r="V83" s="76">
        <f>U83*$B$83</f>
        <v>540</v>
      </c>
      <c r="W83" s="74">
        <v>9</v>
      </c>
      <c r="X83" s="76">
        <f>W83*$B$83</f>
        <v>540</v>
      </c>
      <c r="Y83" s="74">
        <v>9</v>
      </c>
      <c r="Z83" s="76">
        <f>Y83*$B$83</f>
        <v>540</v>
      </c>
      <c r="AA83" s="74">
        <v>9</v>
      </c>
      <c r="AB83" s="76">
        <f>AA83*$B$83</f>
        <v>540</v>
      </c>
      <c r="AC83" s="1"/>
      <c r="AD83" s="1"/>
      <c r="AE83" s="1"/>
      <c r="AF83" s="1"/>
      <c r="AG83" s="1"/>
      <c r="AH83" s="1"/>
      <c r="AI83" s="1"/>
      <c r="AJ83" s="1"/>
      <c r="AK83" s="1"/>
      <c r="AL83" s="1"/>
      <c r="AM83" s="1"/>
      <c r="AN83" s="1"/>
      <c r="AO83" s="1"/>
      <c r="AP83" s="1"/>
      <c r="AQ83" s="1"/>
      <c r="AR83" s="1"/>
    </row>
    <row r="84" spans="1:44" ht="15.6" customHeight="1">
      <c r="A84" s="67" t="str">
        <f>Hipótesis!$B$60</f>
        <v>Alta e instalación Plan Cadena</v>
      </c>
      <c r="B84" s="164">
        <f>Hipótesis!C60</f>
        <v>250</v>
      </c>
      <c r="C84" s="78">
        <f t="shared" si="2"/>
        <v>17</v>
      </c>
      <c r="D84" s="165">
        <f t="shared" si="3"/>
        <v>4250</v>
      </c>
      <c r="E84" s="79">
        <v>1</v>
      </c>
      <c r="F84" s="80">
        <f>E84*$B$84</f>
        <v>250</v>
      </c>
      <c r="G84" s="79">
        <v>1</v>
      </c>
      <c r="H84" s="80">
        <f>G84*$B$84</f>
        <v>250</v>
      </c>
      <c r="I84" s="79">
        <v>1</v>
      </c>
      <c r="J84" s="80">
        <f>I84*$B$84</f>
        <v>250</v>
      </c>
      <c r="K84" s="79">
        <v>1</v>
      </c>
      <c r="L84" s="80">
        <f>K84*$B$84</f>
        <v>250</v>
      </c>
      <c r="M84" s="79">
        <v>1</v>
      </c>
      <c r="N84" s="80">
        <f>M84*$B$84</f>
        <v>250</v>
      </c>
      <c r="O84" s="79">
        <v>2</v>
      </c>
      <c r="P84" s="80">
        <f>O84*$B$84</f>
        <v>500</v>
      </c>
      <c r="Q84" s="79">
        <v>1</v>
      </c>
      <c r="R84" s="80">
        <f>Q84*$B$84</f>
        <v>250</v>
      </c>
      <c r="S84" s="79">
        <v>2</v>
      </c>
      <c r="T84" s="80">
        <f>S84*$B$84</f>
        <v>500</v>
      </c>
      <c r="U84" s="79">
        <v>1</v>
      </c>
      <c r="V84" s="80">
        <f>U84*$B$84</f>
        <v>250</v>
      </c>
      <c r="W84" s="79">
        <v>2</v>
      </c>
      <c r="X84" s="80">
        <f>W84*$B$84</f>
        <v>500</v>
      </c>
      <c r="Y84" s="79">
        <v>2</v>
      </c>
      <c r="Z84" s="80">
        <f>Y84*$B$84</f>
        <v>500</v>
      </c>
      <c r="AA84" s="79">
        <v>2</v>
      </c>
      <c r="AB84" s="80">
        <f>AA84*$B$84</f>
        <v>500</v>
      </c>
      <c r="AC84" s="1"/>
      <c r="AD84" s="1"/>
      <c r="AE84" s="1"/>
      <c r="AF84" s="1"/>
      <c r="AG84" s="1"/>
      <c r="AH84" s="1"/>
      <c r="AI84" s="1"/>
      <c r="AJ84" s="1"/>
      <c r="AK84" s="1"/>
      <c r="AL84" s="1"/>
      <c r="AM84" s="1"/>
      <c r="AN84" s="1"/>
      <c r="AO84" s="1"/>
      <c r="AP84" s="1"/>
      <c r="AQ84" s="1"/>
      <c r="AR84" s="1"/>
    </row>
    <row r="85" spans="1:44" ht="15.6" customHeight="1">
      <c r="A85" s="81" t="str">
        <f>Hipótesis!$B$61</f>
        <v>Abono Plan Básico</v>
      </c>
      <c r="B85" s="82">
        <f>Hipótesis!C61</f>
        <v>15</v>
      </c>
      <c r="C85" s="83">
        <f t="shared" si="2"/>
        <v>676</v>
      </c>
      <c r="D85" s="84">
        <f t="shared" si="3"/>
        <v>10140</v>
      </c>
      <c r="E85" s="85">
        <f>AA22+E82</f>
        <v>34</v>
      </c>
      <c r="F85" s="166">
        <f>E85*$B$85</f>
        <v>510</v>
      </c>
      <c r="G85" s="85">
        <f>E85+G82</f>
        <v>38</v>
      </c>
      <c r="H85" s="86">
        <f>G85*$B$85</f>
        <v>570</v>
      </c>
      <c r="I85" s="85">
        <f>G85+I82</f>
        <v>42</v>
      </c>
      <c r="J85" s="86">
        <f>I85*$B$85</f>
        <v>630</v>
      </c>
      <c r="K85" s="85">
        <f>I85+K82</f>
        <v>46</v>
      </c>
      <c r="L85" s="86">
        <f>K85*$B$85</f>
        <v>690</v>
      </c>
      <c r="M85" s="85">
        <f>K85+M82</f>
        <v>50</v>
      </c>
      <c r="N85" s="86">
        <f>M85*$B$85</f>
        <v>750</v>
      </c>
      <c r="O85" s="85">
        <f>M85+O82</f>
        <v>54</v>
      </c>
      <c r="P85" s="86">
        <f>O85*$B$85</f>
        <v>810</v>
      </c>
      <c r="Q85" s="85">
        <f>O85+Q82</f>
        <v>58</v>
      </c>
      <c r="R85" s="86">
        <f>Q85*$B$85</f>
        <v>870</v>
      </c>
      <c r="S85" s="85">
        <f>Q85+S82</f>
        <v>62</v>
      </c>
      <c r="T85" s="86">
        <f>S85*$B$85</f>
        <v>930</v>
      </c>
      <c r="U85" s="85">
        <f>S85+U82</f>
        <v>66</v>
      </c>
      <c r="V85" s="86">
        <f>U85*$B$85</f>
        <v>990</v>
      </c>
      <c r="W85" s="85">
        <f>U85+W82</f>
        <v>70</v>
      </c>
      <c r="X85" s="86">
        <f>W85*$B$85</f>
        <v>1050</v>
      </c>
      <c r="Y85" s="85">
        <f>W85+Y82</f>
        <v>75</v>
      </c>
      <c r="Z85" s="86">
        <f>Y85*$B$85</f>
        <v>1125</v>
      </c>
      <c r="AA85" s="85">
        <f>Y85+AA82</f>
        <v>81</v>
      </c>
      <c r="AB85" s="86">
        <f>AA85*$B$85</f>
        <v>1215</v>
      </c>
      <c r="AC85" s="1"/>
      <c r="AD85" s="1"/>
      <c r="AE85" s="1"/>
      <c r="AF85" s="1"/>
      <c r="AG85" s="1"/>
      <c r="AH85" s="1"/>
      <c r="AI85" s="1"/>
      <c r="AJ85" s="1"/>
      <c r="AK85" s="1"/>
      <c r="AL85" s="1"/>
      <c r="AM85" s="1"/>
      <c r="AN85" s="1"/>
      <c r="AO85" s="1"/>
      <c r="AP85" s="1"/>
      <c r="AQ85" s="1"/>
      <c r="AR85" s="1"/>
    </row>
    <row r="86" spans="1:44" ht="15.6" customHeight="1">
      <c r="A86" s="81" t="str">
        <f>Hipótesis!$B$62</f>
        <v>Abono Plan Vidriera</v>
      </c>
      <c r="B86" s="87">
        <f>Hipótesis!C62</f>
        <v>29</v>
      </c>
      <c r="C86" s="88">
        <f t="shared" si="2"/>
        <v>1389</v>
      </c>
      <c r="D86" s="89">
        <f t="shared" si="3"/>
        <v>40281</v>
      </c>
      <c r="E86" s="88">
        <f>AA23+E83</f>
        <v>70</v>
      </c>
      <c r="F86" s="167">
        <f>E86*$B$86</f>
        <v>2030</v>
      </c>
      <c r="G86" s="88">
        <f>E86+G83</f>
        <v>78</v>
      </c>
      <c r="H86" s="90">
        <f>G86*$B$86</f>
        <v>2262</v>
      </c>
      <c r="I86" s="88">
        <f>G86+I83</f>
        <v>86</v>
      </c>
      <c r="J86" s="90">
        <f>I86*$B$86</f>
        <v>2494</v>
      </c>
      <c r="K86" s="88">
        <f>I86+K83</f>
        <v>94</v>
      </c>
      <c r="L86" s="90">
        <f>K86*$B$86</f>
        <v>2726</v>
      </c>
      <c r="M86" s="88">
        <f>K86+M83</f>
        <v>102</v>
      </c>
      <c r="N86" s="90">
        <f>M86*$B$86</f>
        <v>2958</v>
      </c>
      <c r="O86" s="88">
        <f>M86+O83</f>
        <v>110</v>
      </c>
      <c r="P86" s="90">
        <f>O86*$B$86</f>
        <v>3190</v>
      </c>
      <c r="Q86" s="88">
        <f>O86+Q83</f>
        <v>119</v>
      </c>
      <c r="R86" s="90">
        <f>Q86*$B$86</f>
        <v>3451</v>
      </c>
      <c r="S86" s="88">
        <f>Q86+S83</f>
        <v>128</v>
      </c>
      <c r="T86" s="90">
        <f>S86*$B$86</f>
        <v>3712</v>
      </c>
      <c r="U86" s="88">
        <f>S86+U83</f>
        <v>137</v>
      </c>
      <c r="V86" s="90">
        <f>U86*$B$86</f>
        <v>3973</v>
      </c>
      <c r="W86" s="88">
        <f>U86+W83</f>
        <v>146</v>
      </c>
      <c r="X86" s="90">
        <f>W86*$B$86</f>
        <v>4234</v>
      </c>
      <c r="Y86" s="88">
        <f>W86+Y83</f>
        <v>155</v>
      </c>
      <c r="Z86" s="90">
        <f>Y86*$B$86</f>
        <v>4495</v>
      </c>
      <c r="AA86" s="88">
        <f>Y86+AA83</f>
        <v>164</v>
      </c>
      <c r="AB86" s="90">
        <f>AA86*$B$86</f>
        <v>4756</v>
      </c>
      <c r="AC86" s="1"/>
      <c r="AD86" s="1"/>
      <c r="AE86" s="1"/>
      <c r="AF86" s="1"/>
      <c r="AG86" s="1"/>
      <c r="AH86" s="1"/>
      <c r="AI86" s="1"/>
      <c r="AJ86" s="1"/>
      <c r="AK86" s="1"/>
      <c r="AL86" s="1"/>
      <c r="AM86" s="1"/>
      <c r="AN86" s="1"/>
      <c r="AO86" s="1"/>
      <c r="AP86" s="1"/>
      <c r="AQ86" s="1"/>
      <c r="AR86" s="1"/>
    </row>
    <row r="87" spans="1:44" ht="15.6" customHeight="1">
      <c r="A87" s="81" t="str">
        <f>Hipótesis!$B$63</f>
        <v>Abono Plan Cadena</v>
      </c>
      <c r="B87" s="87">
        <f>Hipótesis!C63</f>
        <v>79</v>
      </c>
      <c r="C87" s="88">
        <f t="shared" si="2"/>
        <v>216</v>
      </c>
      <c r="D87" s="89">
        <f t="shared" si="3"/>
        <v>17064</v>
      </c>
      <c r="E87" s="88">
        <f>AA24+E84</f>
        <v>11</v>
      </c>
      <c r="F87" s="167">
        <f>E87*$B$87</f>
        <v>869</v>
      </c>
      <c r="G87" s="88">
        <f>E87+G84</f>
        <v>12</v>
      </c>
      <c r="H87" s="90">
        <f>G87*$B$87</f>
        <v>948</v>
      </c>
      <c r="I87" s="88">
        <f>G87+I84</f>
        <v>13</v>
      </c>
      <c r="J87" s="90">
        <f>I87*$B$87</f>
        <v>1027</v>
      </c>
      <c r="K87" s="88">
        <f>I87+K84</f>
        <v>14</v>
      </c>
      <c r="L87" s="90">
        <f>K87*$B$87</f>
        <v>1106</v>
      </c>
      <c r="M87" s="88">
        <f>K87+M84</f>
        <v>15</v>
      </c>
      <c r="N87" s="90">
        <f>M87*$B$87</f>
        <v>1185</v>
      </c>
      <c r="O87" s="88">
        <f>M87+O84</f>
        <v>17</v>
      </c>
      <c r="P87" s="90">
        <f>O87*$B$87</f>
        <v>1343</v>
      </c>
      <c r="Q87" s="88">
        <f>O87+Q84</f>
        <v>18</v>
      </c>
      <c r="R87" s="90">
        <f>Q87*$B$87</f>
        <v>1422</v>
      </c>
      <c r="S87" s="88">
        <f>Q87+S84</f>
        <v>20</v>
      </c>
      <c r="T87" s="90">
        <f>S87*$B$87</f>
        <v>1580</v>
      </c>
      <c r="U87" s="88">
        <f>S87+U84</f>
        <v>21</v>
      </c>
      <c r="V87" s="90">
        <f>U87*$B$87</f>
        <v>1659</v>
      </c>
      <c r="W87" s="88">
        <f>U87+W84</f>
        <v>23</v>
      </c>
      <c r="X87" s="90">
        <f>W87*$B$87</f>
        <v>1817</v>
      </c>
      <c r="Y87" s="88">
        <f>W87+Y84</f>
        <v>25</v>
      </c>
      <c r="Z87" s="90">
        <f>Y87*$B$87</f>
        <v>1975</v>
      </c>
      <c r="AA87" s="88">
        <f>Y87+AA84</f>
        <v>27</v>
      </c>
      <c r="AB87" s="90">
        <f>AA87*$B$87</f>
        <v>2133</v>
      </c>
      <c r="AC87" s="1"/>
      <c r="AD87" s="1"/>
      <c r="AE87" s="1"/>
      <c r="AF87" s="1"/>
      <c r="AG87" s="1"/>
      <c r="AH87" s="1"/>
      <c r="AI87" s="1"/>
      <c r="AJ87" s="1"/>
      <c r="AK87" s="1"/>
      <c r="AL87" s="1"/>
      <c r="AM87" s="1"/>
      <c r="AN87" s="1"/>
      <c r="AO87" s="1"/>
      <c r="AP87" s="1"/>
      <c r="AQ87" s="1"/>
      <c r="AR87" s="1"/>
    </row>
    <row r="88" spans="1:44" ht="15.6" customHeight="1">
      <c r="A88" s="91"/>
      <c r="B88" s="92"/>
      <c r="C88" s="168"/>
      <c r="D88" s="94"/>
      <c r="E88" s="93"/>
      <c r="F88" s="167"/>
      <c r="G88" s="93"/>
      <c r="H88" s="90"/>
      <c r="I88" s="93"/>
      <c r="J88" s="90"/>
      <c r="K88" s="93"/>
      <c r="L88" s="90"/>
      <c r="M88" s="93"/>
      <c r="N88" s="90"/>
      <c r="O88" s="93"/>
      <c r="P88" s="90"/>
      <c r="Q88" s="93"/>
      <c r="R88" s="90"/>
      <c r="S88" s="93"/>
      <c r="T88" s="90"/>
      <c r="U88" s="93"/>
      <c r="V88" s="90"/>
      <c r="W88" s="93"/>
      <c r="X88" s="90"/>
      <c r="Y88" s="93"/>
      <c r="Z88" s="90"/>
      <c r="AA88" s="93"/>
      <c r="AB88" s="90"/>
      <c r="AC88" s="1"/>
      <c r="AD88" s="1"/>
      <c r="AE88" s="1"/>
      <c r="AF88" s="1"/>
      <c r="AG88" s="1"/>
      <c r="AH88" s="1"/>
      <c r="AI88" s="1"/>
      <c r="AJ88" s="1"/>
      <c r="AK88" s="1"/>
      <c r="AL88" s="1"/>
      <c r="AM88" s="1"/>
      <c r="AN88" s="1"/>
      <c r="AO88" s="1"/>
      <c r="AP88" s="1"/>
      <c r="AQ88" s="1"/>
      <c r="AR88" s="1"/>
    </row>
    <row r="89" spans="1:44" ht="15.6" customHeight="1">
      <c r="A89" s="96"/>
      <c r="B89" s="97"/>
      <c r="C89" s="169"/>
      <c r="D89" s="99"/>
      <c r="E89" s="100"/>
      <c r="F89" s="99"/>
      <c r="G89" s="98"/>
      <c r="H89" s="99"/>
      <c r="I89" s="98"/>
      <c r="J89" s="99"/>
      <c r="K89" s="98"/>
      <c r="L89" s="99"/>
      <c r="M89" s="98"/>
      <c r="N89" s="99"/>
      <c r="O89" s="98"/>
      <c r="P89" s="99"/>
      <c r="Q89" s="98"/>
      <c r="R89" s="99"/>
      <c r="S89" s="98"/>
      <c r="T89" s="99"/>
      <c r="U89" s="98"/>
      <c r="V89" s="99"/>
      <c r="W89" s="98"/>
      <c r="X89" s="99"/>
      <c r="Y89" s="98"/>
      <c r="Z89" s="170"/>
      <c r="AA89" s="98"/>
      <c r="AB89" s="99"/>
      <c r="AC89" s="1"/>
      <c r="AD89" s="1"/>
      <c r="AE89" s="1"/>
      <c r="AF89" s="1"/>
      <c r="AG89" s="1"/>
      <c r="AH89" s="1"/>
      <c r="AI89" s="1"/>
      <c r="AJ89" s="1"/>
      <c r="AK89" s="1"/>
      <c r="AL89" s="1"/>
      <c r="AM89" s="1"/>
      <c r="AN89" s="1"/>
      <c r="AO89" s="1"/>
      <c r="AP89" s="1"/>
      <c r="AQ89" s="1"/>
      <c r="AR89" s="1"/>
    </row>
    <row r="90" spans="1:44" ht="15.6" customHeight="1">
      <c r="A90" s="102"/>
      <c r="B90" s="103"/>
      <c r="C90" s="171"/>
      <c r="D90" s="105"/>
      <c r="E90" s="104"/>
      <c r="F90" s="105"/>
      <c r="G90" s="104"/>
      <c r="H90" s="105"/>
      <c r="I90" s="104"/>
      <c r="J90" s="105"/>
      <c r="K90" s="104"/>
      <c r="L90" s="105"/>
      <c r="M90" s="104"/>
      <c r="N90" s="105"/>
      <c r="O90" s="104"/>
      <c r="P90" s="105"/>
      <c r="Q90" s="104"/>
      <c r="R90" s="105"/>
      <c r="S90" s="104"/>
      <c r="T90" s="105"/>
      <c r="U90" s="104"/>
      <c r="V90" s="105"/>
      <c r="W90" s="104"/>
      <c r="X90" s="105"/>
      <c r="Y90" s="104"/>
      <c r="Z90" s="172"/>
      <c r="AA90" s="104"/>
      <c r="AB90" s="105"/>
      <c r="AC90" s="1"/>
      <c r="AD90" s="1"/>
      <c r="AE90" s="1"/>
      <c r="AF90" s="1"/>
      <c r="AG90" s="1"/>
      <c r="AH90" s="1"/>
      <c r="AI90" s="1"/>
      <c r="AJ90" s="1"/>
      <c r="AK90" s="1"/>
      <c r="AL90" s="1"/>
      <c r="AM90" s="1"/>
      <c r="AN90" s="1"/>
      <c r="AO90" s="1"/>
      <c r="AP90" s="1"/>
      <c r="AQ90" s="1"/>
      <c r="AR90" s="1"/>
    </row>
    <row r="91" spans="1:44" ht="15.6" customHeight="1">
      <c r="A91" s="102"/>
      <c r="B91" s="103"/>
      <c r="C91" s="171"/>
      <c r="D91" s="105"/>
      <c r="E91" s="104"/>
      <c r="F91" s="105"/>
      <c r="G91" s="104"/>
      <c r="H91" s="105"/>
      <c r="I91" s="104"/>
      <c r="J91" s="105"/>
      <c r="K91" s="104"/>
      <c r="L91" s="105"/>
      <c r="M91" s="104"/>
      <c r="N91" s="105"/>
      <c r="O91" s="104"/>
      <c r="P91" s="105"/>
      <c r="Q91" s="104"/>
      <c r="R91" s="105"/>
      <c r="S91" s="104"/>
      <c r="T91" s="105"/>
      <c r="U91" s="104"/>
      <c r="V91" s="105"/>
      <c r="W91" s="104"/>
      <c r="X91" s="105"/>
      <c r="Y91" s="104"/>
      <c r="Z91" s="172"/>
      <c r="AA91" s="104"/>
      <c r="AB91" s="105"/>
      <c r="AC91" s="1"/>
      <c r="AD91" s="1"/>
      <c r="AE91" s="1"/>
      <c r="AF91" s="1"/>
      <c r="AG91" s="1"/>
      <c r="AH91" s="1"/>
      <c r="AI91" s="1"/>
      <c r="AJ91" s="1"/>
      <c r="AK91" s="1"/>
      <c r="AL91" s="1"/>
      <c r="AM91" s="1"/>
      <c r="AN91" s="1"/>
      <c r="AO91" s="1"/>
      <c r="AP91" s="1"/>
      <c r="AQ91" s="1"/>
      <c r="AR91" s="1"/>
    </row>
    <row r="92" spans="1:44" ht="15.6" customHeight="1">
      <c r="A92" s="102"/>
      <c r="B92" s="103"/>
      <c r="C92" s="171"/>
      <c r="D92" s="105"/>
      <c r="E92" s="104"/>
      <c r="F92" s="105"/>
      <c r="G92" s="104"/>
      <c r="H92" s="105"/>
      <c r="I92" s="104"/>
      <c r="J92" s="105"/>
      <c r="K92" s="104"/>
      <c r="L92" s="105"/>
      <c r="M92" s="104"/>
      <c r="N92" s="105"/>
      <c r="O92" s="104"/>
      <c r="P92" s="105"/>
      <c r="Q92" s="104"/>
      <c r="R92" s="105"/>
      <c r="S92" s="104"/>
      <c r="T92" s="105"/>
      <c r="U92" s="104"/>
      <c r="V92" s="105"/>
      <c r="W92" s="104"/>
      <c r="X92" s="105"/>
      <c r="Y92" s="104"/>
      <c r="Z92" s="172"/>
      <c r="AA92" s="104"/>
      <c r="AB92" s="105"/>
      <c r="AC92" s="1"/>
      <c r="AD92" s="1"/>
      <c r="AE92" s="1"/>
      <c r="AF92" s="1"/>
      <c r="AG92" s="1"/>
      <c r="AH92" s="1"/>
      <c r="AI92" s="1"/>
      <c r="AJ92" s="1"/>
      <c r="AK92" s="1"/>
      <c r="AL92" s="1"/>
      <c r="AM92" s="1"/>
      <c r="AN92" s="1"/>
      <c r="AO92" s="1"/>
      <c r="AP92" s="1"/>
      <c r="AQ92" s="1"/>
      <c r="AR92" s="1"/>
    </row>
    <row r="93" spans="1:44" ht="15.6" customHeight="1">
      <c r="A93" s="106"/>
      <c r="B93" s="107"/>
      <c r="C93" s="173"/>
      <c r="D93" s="109"/>
      <c r="E93" s="108"/>
      <c r="F93" s="109"/>
      <c r="G93" s="108"/>
      <c r="H93" s="109"/>
      <c r="I93" s="108"/>
      <c r="J93" s="109"/>
      <c r="K93" s="108"/>
      <c r="L93" s="109"/>
      <c r="M93" s="108"/>
      <c r="N93" s="109"/>
      <c r="O93" s="108"/>
      <c r="P93" s="109"/>
      <c r="Q93" s="108"/>
      <c r="R93" s="109"/>
      <c r="S93" s="108"/>
      <c r="T93" s="109"/>
      <c r="U93" s="108"/>
      <c r="V93" s="109"/>
      <c r="W93" s="108"/>
      <c r="X93" s="109"/>
      <c r="Y93" s="108"/>
      <c r="Z93" s="174"/>
      <c r="AA93" s="108"/>
      <c r="AB93" s="109"/>
      <c r="AC93" s="1"/>
      <c r="AD93" s="1"/>
      <c r="AE93" s="1"/>
      <c r="AF93" s="1"/>
      <c r="AG93" s="1"/>
      <c r="AH93" s="1"/>
      <c r="AI93" s="1"/>
      <c r="AJ93" s="1"/>
      <c r="AK93" s="1"/>
      <c r="AL93" s="1"/>
      <c r="AM93" s="1"/>
      <c r="AN93" s="1"/>
      <c r="AO93" s="1"/>
      <c r="AP93" s="1"/>
      <c r="AQ93" s="1"/>
      <c r="AR93" s="1"/>
    </row>
    <row r="94" spans="1:44" ht="15.6" customHeight="1">
      <c r="A94" s="175"/>
      <c r="B94" s="176"/>
      <c r="C94" s="177"/>
      <c r="D94" s="178"/>
      <c r="E94" s="179"/>
      <c r="F94" s="178"/>
      <c r="G94" s="179"/>
      <c r="H94" s="178"/>
      <c r="I94" s="179"/>
      <c r="J94" s="178"/>
      <c r="K94" s="179"/>
      <c r="L94" s="178"/>
      <c r="M94" s="179"/>
      <c r="N94" s="178"/>
      <c r="O94" s="179"/>
      <c r="P94" s="178"/>
      <c r="Q94" s="179"/>
      <c r="R94" s="178"/>
      <c r="S94" s="179"/>
      <c r="T94" s="178"/>
      <c r="U94" s="179"/>
      <c r="V94" s="178"/>
      <c r="W94" s="179"/>
      <c r="X94" s="178"/>
      <c r="Y94" s="179"/>
      <c r="Z94" s="180"/>
      <c r="AA94" s="179"/>
      <c r="AB94" s="178"/>
      <c r="AC94" s="1"/>
      <c r="AD94" s="1"/>
      <c r="AE94" s="1"/>
      <c r="AF94" s="1"/>
      <c r="AG94" s="1"/>
      <c r="AH94" s="1"/>
      <c r="AI94" s="1"/>
      <c r="AJ94" s="1"/>
      <c r="AK94" s="1"/>
      <c r="AL94" s="1"/>
      <c r="AM94" s="1"/>
      <c r="AN94" s="1"/>
      <c r="AO94" s="1"/>
      <c r="AP94" s="1"/>
      <c r="AQ94" s="1"/>
      <c r="AR94" s="1"/>
    </row>
    <row r="95" spans="1:44" ht="15.6" customHeight="1">
      <c r="A95" s="695" t="s">
        <v>92</v>
      </c>
      <c r="B95" s="621"/>
      <c r="C95" s="156"/>
      <c r="D95" s="119">
        <f>SUM(D82:D94)</f>
        <v>79130</v>
      </c>
      <c r="E95" s="118"/>
      <c r="F95" s="119">
        <f>SUM(F82:F94)</f>
        <v>4239</v>
      </c>
      <c r="G95" s="118"/>
      <c r="H95" s="119">
        <f>SUM(H82:H94)</f>
        <v>4610</v>
      </c>
      <c r="I95" s="118"/>
      <c r="J95" s="119">
        <f>SUM(J82:J94)</f>
        <v>4981</v>
      </c>
      <c r="K95" s="118"/>
      <c r="L95" s="119">
        <f>SUM(L82:L94)</f>
        <v>5352</v>
      </c>
      <c r="M95" s="118"/>
      <c r="N95" s="119">
        <f>SUM(N82:N94)</f>
        <v>5723</v>
      </c>
      <c r="O95" s="118"/>
      <c r="P95" s="119">
        <f>SUM(P82:P94)</f>
        <v>6423</v>
      </c>
      <c r="Q95" s="118"/>
      <c r="R95" s="119">
        <f>SUM(R82:R94)</f>
        <v>6633</v>
      </c>
      <c r="S95" s="118"/>
      <c r="T95" s="119">
        <f>SUM(T82:T94)</f>
        <v>7362</v>
      </c>
      <c r="U95" s="118"/>
      <c r="V95" s="119">
        <f>SUM(V82:V94)</f>
        <v>7512</v>
      </c>
      <c r="W95" s="118"/>
      <c r="X95" s="119">
        <f>SUM(X82:X94)</f>
        <v>8241</v>
      </c>
      <c r="Y95" s="118"/>
      <c r="Z95" s="119">
        <f>SUM(Z82:Z94)</f>
        <v>8760</v>
      </c>
      <c r="AA95" s="118"/>
      <c r="AB95" s="119">
        <f>SUM(AB82:AB94)</f>
        <v>9294</v>
      </c>
      <c r="AC95" s="1"/>
      <c r="AD95" s="1"/>
      <c r="AE95" s="1"/>
      <c r="AF95" s="1"/>
      <c r="AG95" s="1"/>
      <c r="AH95" s="1"/>
      <c r="AI95" s="1"/>
      <c r="AJ95" s="1"/>
      <c r="AK95" s="1"/>
      <c r="AL95" s="1"/>
      <c r="AM95" s="1"/>
      <c r="AN95" s="1"/>
      <c r="AO95" s="1"/>
      <c r="AP95" s="1"/>
      <c r="AQ95" s="1"/>
      <c r="AR95" s="1"/>
    </row>
    <row r="96" spans="1:44" ht="15.6" customHeight="1">
      <c r="A96" s="659"/>
      <c r="B96" s="652"/>
      <c r="C96" s="121">
        <f>C82</f>
        <v>51</v>
      </c>
      <c r="D96" s="124"/>
      <c r="E96" s="123">
        <f>E82</f>
        <v>4</v>
      </c>
      <c r="F96" s="124"/>
      <c r="G96" s="123">
        <f>G82</f>
        <v>4</v>
      </c>
      <c r="H96" s="124"/>
      <c r="I96" s="123">
        <f>I82</f>
        <v>4</v>
      </c>
      <c r="J96" s="124"/>
      <c r="K96" s="123">
        <f>K82</f>
        <v>4</v>
      </c>
      <c r="L96" s="124"/>
      <c r="M96" s="123">
        <f>M82</f>
        <v>4</v>
      </c>
      <c r="N96" s="124"/>
      <c r="O96" s="123">
        <f>O82</f>
        <v>4</v>
      </c>
      <c r="P96" s="124"/>
      <c r="Q96" s="123">
        <f>Q82</f>
        <v>4</v>
      </c>
      <c r="R96" s="124"/>
      <c r="S96" s="123">
        <f>S82</f>
        <v>4</v>
      </c>
      <c r="T96" s="124"/>
      <c r="U96" s="123">
        <f>U82</f>
        <v>4</v>
      </c>
      <c r="V96" s="124"/>
      <c r="W96" s="123">
        <f>W82</f>
        <v>4</v>
      </c>
      <c r="X96" s="124"/>
      <c r="Y96" s="123">
        <f>Y82</f>
        <v>5</v>
      </c>
      <c r="Z96" s="124"/>
      <c r="AA96" s="123">
        <f>AA82</f>
        <v>6</v>
      </c>
      <c r="AB96" s="122"/>
      <c r="AC96" s="1"/>
      <c r="AD96" s="1"/>
      <c r="AE96" s="1"/>
      <c r="AF96" s="1"/>
      <c r="AG96" s="1"/>
      <c r="AH96" s="1"/>
      <c r="AI96" s="1"/>
      <c r="AJ96" s="1"/>
      <c r="AK96" s="1"/>
      <c r="AL96" s="1"/>
      <c r="AM96" s="1"/>
      <c r="AN96" s="1"/>
      <c r="AO96" s="1"/>
      <c r="AP96" s="1"/>
      <c r="AQ96" s="1"/>
      <c r="AR96" s="1"/>
    </row>
    <row r="97" spans="1:44" ht="15.6" customHeight="1">
      <c r="A97" s="664"/>
      <c r="B97" s="649"/>
      <c r="C97" s="125">
        <f>C83</f>
        <v>102</v>
      </c>
      <c r="D97" s="128"/>
      <c r="E97" s="127">
        <f>E83</f>
        <v>8</v>
      </c>
      <c r="F97" s="128"/>
      <c r="G97" s="127">
        <f>G83</f>
        <v>8</v>
      </c>
      <c r="H97" s="128"/>
      <c r="I97" s="127">
        <f>I83</f>
        <v>8</v>
      </c>
      <c r="J97" s="128"/>
      <c r="K97" s="127">
        <f>K83</f>
        <v>8</v>
      </c>
      <c r="L97" s="128"/>
      <c r="M97" s="127">
        <f>M83</f>
        <v>8</v>
      </c>
      <c r="N97" s="128"/>
      <c r="O97" s="127">
        <f>O83</f>
        <v>8</v>
      </c>
      <c r="P97" s="128"/>
      <c r="Q97" s="127">
        <f>Q83</f>
        <v>9</v>
      </c>
      <c r="R97" s="128"/>
      <c r="S97" s="127">
        <f>S83</f>
        <v>9</v>
      </c>
      <c r="T97" s="128"/>
      <c r="U97" s="127">
        <f>U83</f>
        <v>9</v>
      </c>
      <c r="V97" s="128"/>
      <c r="W97" s="127">
        <f>W83</f>
        <v>9</v>
      </c>
      <c r="X97" s="128"/>
      <c r="Y97" s="127">
        <f>Y83</f>
        <v>9</v>
      </c>
      <c r="Z97" s="128"/>
      <c r="AA97" s="127">
        <f>AA83</f>
        <v>9</v>
      </c>
      <c r="AB97" s="126"/>
      <c r="AC97" s="1"/>
      <c r="AD97" s="1"/>
      <c r="AE97" s="1"/>
      <c r="AF97" s="1"/>
      <c r="AG97" s="1"/>
      <c r="AH97" s="1"/>
      <c r="AI97" s="1"/>
      <c r="AJ97" s="1"/>
      <c r="AK97" s="1"/>
      <c r="AL97" s="1"/>
      <c r="AM97" s="1"/>
      <c r="AN97" s="1"/>
      <c r="AO97" s="1"/>
      <c r="AP97" s="1"/>
      <c r="AQ97" s="1"/>
      <c r="AR97" s="1"/>
    </row>
    <row r="98" spans="1:44" ht="15.6" customHeight="1">
      <c r="A98" s="661"/>
      <c r="B98" s="662"/>
      <c r="C98" s="129">
        <f>C84</f>
        <v>17</v>
      </c>
      <c r="D98" s="132"/>
      <c r="E98" s="131">
        <f>E84</f>
        <v>1</v>
      </c>
      <c r="F98" s="132"/>
      <c r="G98" s="131">
        <f>G84</f>
        <v>1</v>
      </c>
      <c r="H98" s="132"/>
      <c r="I98" s="131">
        <f>I84</f>
        <v>1</v>
      </c>
      <c r="J98" s="132"/>
      <c r="K98" s="131">
        <f>K84</f>
        <v>1</v>
      </c>
      <c r="L98" s="132"/>
      <c r="M98" s="131">
        <f>M84</f>
        <v>1</v>
      </c>
      <c r="N98" s="132"/>
      <c r="O98" s="131">
        <f>O84</f>
        <v>2</v>
      </c>
      <c r="P98" s="132"/>
      <c r="Q98" s="131">
        <f>Q84</f>
        <v>1</v>
      </c>
      <c r="R98" s="132"/>
      <c r="S98" s="131">
        <f>S84</f>
        <v>2</v>
      </c>
      <c r="T98" s="132"/>
      <c r="U98" s="131">
        <f>U84</f>
        <v>1</v>
      </c>
      <c r="V98" s="132"/>
      <c r="W98" s="131">
        <f>W84</f>
        <v>2</v>
      </c>
      <c r="X98" s="132"/>
      <c r="Y98" s="131">
        <f>Y84</f>
        <v>2</v>
      </c>
      <c r="Z98" s="132"/>
      <c r="AA98" s="131">
        <f>AA84</f>
        <v>2</v>
      </c>
      <c r="AB98" s="130"/>
      <c r="AC98" s="1"/>
      <c r="AD98" s="1"/>
      <c r="AE98" s="1"/>
      <c r="AF98" s="1"/>
      <c r="AG98" s="1"/>
      <c r="AH98" s="1"/>
      <c r="AI98" s="1"/>
      <c r="AJ98" s="1"/>
      <c r="AK98" s="1"/>
      <c r="AL98" s="1"/>
      <c r="AM98" s="1"/>
      <c r="AN98" s="1"/>
      <c r="AO98" s="1"/>
      <c r="AP98" s="1"/>
      <c r="AQ98" s="1"/>
      <c r="AR98" s="1"/>
    </row>
    <row r="99" spans="1:44" ht="15.6" customHeight="1">
      <c r="A99" s="712"/>
      <c r="B99" s="639"/>
      <c r="C99" s="181">
        <f>SUM(C85:C88)</f>
        <v>2281</v>
      </c>
      <c r="D99" s="134"/>
      <c r="E99" s="135">
        <f>SUM(E85:E88)</f>
        <v>115</v>
      </c>
      <c r="F99" s="136"/>
      <c r="G99" s="135">
        <f>SUM(G85:G88)</f>
        <v>128</v>
      </c>
      <c r="H99" s="136"/>
      <c r="I99" s="135">
        <f>SUM(I85:I88)</f>
        <v>141</v>
      </c>
      <c r="J99" s="136"/>
      <c r="K99" s="135">
        <f>SUM(K85:K88)</f>
        <v>154</v>
      </c>
      <c r="L99" s="136"/>
      <c r="M99" s="135">
        <f>SUM(M85:M88)</f>
        <v>167</v>
      </c>
      <c r="N99" s="136"/>
      <c r="O99" s="135">
        <f>SUM(O85:O88)</f>
        <v>181</v>
      </c>
      <c r="P99" s="136"/>
      <c r="Q99" s="135">
        <f>SUM(Q85:Q88)</f>
        <v>195</v>
      </c>
      <c r="R99" s="136"/>
      <c r="S99" s="135">
        <f>SUM(S85:S88)</f>
        <v>210</v>
      </c>
      <c r="T99" s="136"/>
      <c r="U99" s="135">
        <f>SUM(U85:U88)</f>
        <v>224</v>
      </c>
      <c r="V99" s="136"/>
      <c r="W99" s="135">
        <f>SUM(W85:W88)</f>
        <v>239</v>
      </c>
      <c r="X99" s="136"/>
      <c r="Y99" s="135">
        <f>SUM(Y85:Y88)</f>
        <v>255</v>
      </c>
      <c r="Z99" s="136"/>
      <c r="AA99" s="135">
        <f>SUM(AA85:AA88)</f>
        <v>272</v>
      </c>
      <c r="AB99" s="137"/>
      <c r="AC99" s="1"/>
      <c r="AD99" s="1"/>
      <c r="AE99" s="1"/>
      <c r="AF99" s="1"/>
      <c r="AG99" s="1"/>
      <c r="AH99" s="1"/>
      <c r="AI99" s="1"/>
      <c r="AJ99" s="1"/>
      <c r="AK99" s="1"/>
      <c r="AL99" s="1"/>
      <c r="AM99" s="1"/>
      <c r="AN99" s="1"/>
      <c r="AO99" s="1"/>
      <c r="AP99" s="1"/>
      <c r="AQ99" s="1"/>
      <c r="AR99" s="1"/>
    </row>
    <row r="100" spans="1:44" ht="15.6" customHeight="1">
      <c r="A100" s="721"/>
      <c r="B100" s="621"/>
      <c r="C100" s="182">
        <f>SUM(C89:C93)</f>
        <v>0</v>
      </c>
      <c r="D100" s="183"/>
      <c r="E100" s="140">
        <f>SUM(E89:E93)</f>
        <v>0</v>
      </c>
      <c r="F100" s="141"/>
      <c r="G100" s="140">
        <f>SUM(G89:G93)</f>
        <v>0</v>
      </c>
      <c r="H100" s="141"/>
      <c r="I100" s="140">
        <f>SUM(I89:I93)</f>
        <v>0</v>
      </c>
      <c r="J100" s="141"/>
      <c r="K100" s="140">
        <f>SUM(K89:K93)</f>
        <v>0</v>
      </c>
      <c r="L100" s="141"/>
      <c r="M100" s="140">
        <f>SUM(M89:M93)</f>
        <v>0</v>
      </c>
      <c r="N100" s="141"/>
      <c r="O100" s="140">
        <f>SUM(O89:O93)</f>
        <v>0</v>
      </c>
      <c r="P100" s="141"/>
      <c r="Q100" s="140">
        <f>SUM(Q89:Q93)</f>
        <v>0</v>
      </c>
      <c r="R100" s="141"/>
      <c r="S100" s="140">
        <f>SUM(S89:S93)</f>
        <v>0</v>
      </c>
      <c r="T100" s="141"/>
      <c r="U100" s="140">
        <f>SUM(U89:U93)</f>
        <v>0</v>
      </c>
      <c r="V100" s="141"/>
      <c r="W100" s="140">
        <f>SUM(W89:W93)</f>
        <v>0</v>
      </c>
      <c r="X100" s="141"/>
      <c r="Y100" s="140">
        <f>SUM(Y89:Y93)</f>
        <v>0</v>
      </c>
      <c r="Z100" s="141"/>
      <c r="AA100" s="140">
        <f>SUM(AA89:AA93)</f>
        <v>0</v>
      </c>
      <c r="AB100" s="142"/>
      <c r="AC100" s="1"/>
      <c r="AD100" s="1"/>
      <c r="AE100" s="1"/>
      <c r="AF100" s="1"/>
      <c r="AG100" s="1"/>
      <c r="AH100" s="1"/>
      <c r="AI100" s="1"/>
      <c r="AJ100" s="1"/>
      <c r="AK100" s="1"/>
      <c r="AL100" s="1"/>
      <c r="AM100" s="1"/>
      <c r="AN100" s="1"/>
      <c r="AO100" s="1"/>
      <c r="AP100" s="1"/>
      <c r="AQ100" s="1"/>
      <c r="AR100" s="1"/>
    </row>
    <row r="101" spans="1:44" ht="15.6" customHeight="1">
      <c r="A101" s="713"/>
      <c r="B101" s="642"/>
      <c r="C101" s="143">
        <f>C94</f>
        <v>0</v>
      </c>
      <c r="D101" s="184"/>
      <c r="E101" s="145">
        <f>E94</f>
        <v>0</v>
      </c>
      <c r="F101" s="146"/>
      <c r="G101" s="145">
        <f>G94</f>
        <v>0</v>
      </c>
      <c r="H101" s="146"/>
      <c r="I101" s="145">
        <f>I94</f>
        <v>0</v>
      </c>
      <c r="J101" s="146"/>
      <c r="K101" s="145">
        <f>K94</f>
        <v>0</v>
      </c>
      <c r="L101" s="146"/>
      <c r="M101" s="145">
        <f>M94</f>
        <v>0</v>
      </c>
      <c r="N101" s="146"/>
      <c r="O101" s="145">
        <f>O94</f>
        <v>0</v>
      </c>
      <c r="P101" s="146"/>
      <c r="Q101" s="145">
        <f>Q94</f>
        <v>0</v>
      </c>
      <c r="R101" s="146"/>
      <c r="S101" s="145">
        <f>S94</f>
        <v>0</v>
      </c>
      <c r="T101" s="146"/>
      <c r="U101" s="145">
        <f>U94</f>
        <v>0</v>
      </c>
      <c r="V101" s="146"/>
      <c r="W101" s="145">
        <f>W94</f>
        <v>0</v>
      </c>
      <c r="X101" s="146"/>
      <c r="Y101" s="145">
        <f>Y94</f>
        <v>0</v>
      </c>
      <c r="Z101" s="146"/>
      <c r="AA101" s="145">
        <f>AA94</f>
        <v>0</v>
      </c>
      <c r="AB101" s="147"/>
      <c r="AC101" s="1"/>
      <c r="AD101" s="1"/>
      <c r="AE101" s="1"/>
      <c r="AF101" s="1"/>
      <c r="AG101" s="1"/>
      <c r="AH101" s="1"/>
      <c r="AI101" s="1"/>
      <c r="AJ101" s="1"/>
      <c r="AK101" s="1"/>
      <c r="AL101" s="1"/>
      <c r="AM101" s="1"/>
      <c r="AN101" s="1"/>
      <c r="AO101" s="1"/>
      <c r="AP101" s="1"/>
      <c r="AQ101" s="1"/>
      <c r="AR101" s="1"/>
    </row>
    <row r="102" spans="1:44" ht="14.4" customHeight="1">
      <c r="A102" s="1"/>
      <c r="B102" s="1"/>
      <c r="C102" s="1"/>
      <c r="D102" s="148"/>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spans="1:44" ht="25.95" customHeight="1">
      <c r="A103" s="681" t="s">
        <v>127</v>
      </c>
      <c r="B103" s="620"/>
      <c r="C103" s="620"/>
      <c r="D103" s="620"/>
      <c r="E103" s="620"/>
      <c r="F103" s="620"/>
      <c r="G103" s="620"/>
      <c r="H103" s="620"/>
      <c r="I103" s="620"/>
      <c r="J103" s="620"/>
      <c r="K103" s="620"/>
      <c r="L103" s="620"/>
      <c r="M103" s="620"/>
      <c r="N103" s="620"/>
      <c r="O103" s="620"/>
      <c r="P103" s="620"/>
      <c r="Q103" s="620"/>
      <c r="R103" s="620"/>
      <c r="S103" s="620"/>
      <c r="T103" s="620"/>
      <c r="U103" s="620"/>
      <c r="V103" s="620"/>
      <c r="W103" s="620"/>
      <c r="X103" s="620"/>
      <c r="Y103" s="620"/>
      <c r="Z103" s="620"/>
      <c r="AA103" s="620"/>
      <c r="AB103" s="621"/>
      <c r="AC103" s="1"/>
      <c r="AD103" s="1"/>
      <c r="AE103" s="1"/>
      <c r="AF103" s="1"/>
      <c r="AG103" s="1"/>
      <c r="AH103" s="1"/>
      <c r="AI103" s="1"/>
      <c r="AJ103" s="1"/>
      <c r="AK103" s="1"/>
      <c r="AL103" s="1"/>
      <c r="AM103" s="1"/>
      <c r="AN103" s="1"/>
      <c r="AO103" s="1"/>
      <c r="AP103" s="1"/>
      <c r="AQ103" s="1"/>
      <c r="AR103" s="1"/>
    </row>
    <row r="104" spans="1:44" ht="25.95" customHeight="1">
      <c r="A104" s="150" t="s">
        <v>94</v>
      </c>
      <c r="B104" s="700" t="s">
        <v>128</v>
      </c>
      <c r="C104" s="620"/>
      <c r="D104" s="620"/>
      <c r="E104" s="620"/>
      <c r="F104" s="620"/>
      <c r="G104" s="620"/>
      <c r="H104" s="620"/>
      <c r="I104" s="620"/>
      <c r="J104" s="620"/>
      <c r="K104" s="620"/>
      <c r="L104" s="620"/>
      <c r="M104" s="620"/>
      <c r="N104" s="620"/>
      <c r="O104" s="620"/>
      <c r="P104" s="620"/>
      <c r="Q104" s="620"/>
      <c r="R104" s="620"/>
      <c r="S104" s="620"/>
      <c r="T104" s="620"/>
      <c r="U104" s="620"/>
      <c r="V104" s="620"/>
      <c r="W104" s="620"/>
      <c r="X104" s="620"/>
      <c r="Y104" s="620"/>
      <c r="Z104" s="620"/>
      <c r="AA104" s="620"/>
      <c r="AB104" s="621"/>
      <c r="AC104" s="1"/>
      <c r="AD104" s="1"/>
      <c r="AE104" s="1"/>
      <c r="AF104" s="1"/>
      <c r="AG104" s="1"/>
      <c r="AH104" s="1"/>
      <c r="AI104" s="1"/>
      <c r="AJ104" s="1"/>
      <c r="AK104" s="1"/>
      <c r="AL104" s="1"/>
      <c r="AM104" s="1"/>
      <c r="AN104" s="1"/>
      <c r="AO104" s="1"/>
      <c r="AP104" s="1"/>
      <c r="AQ104" s="1"/>
      <c r="AR104" s="1"/>
    </row>
    <row r="105" spans="1:44" ht="21" customHeight="1">
      <c r="A105" s="692"/>
      <c r="B105" s="669"/>
      <c r="C105" s="680" t="s">
        <v>96</v>
      </c>
      <c r="D105" s="621"/>
      <c r="E105" s="697" t="s">
        <v>79</v>
      </c>
      <c r="F105" s="637"/>
      <c r="G105" s="654" t="s">
        <v>80</v>
      </c>
      <c r="H105" s="637"/>
      <c r="I105" s="654" t="s">
        <v>81</v>
      </c>
      <c r="J105" s="637"/>
      <c r="K105" s="654" t="s">
        <v>82</v>
      </c>
      <c r="L105" s="637"/>
      <c r="M105" s="654" t="s">
        <v>83</v>
      </c>
      <c r="N105" s="637"/>
      <c r="O105" s="654" t="s">
        <v>84</v>
      </c>
      <c r="P105" s="637"/>
      <c r="Q105" s="654" t="s">
        <v>85</v>
      </c>
      <c r="R105" s="637"/>
      <c r="S105" s="654" t="s">
        <v>86</v>
      </c>
      <c r="T105" s="637"/>
      <c r="U105" s="654" t="s">
        <v>87</v>
      </c>
      <c r="V105" s="637"/>
      <c r="W105" s="654" t="s">
        <v>88</v>
      </c>
      <c r="X105" s="637"/>
      <c r="Y105" s="654" t="s">
        <v>89</v>
      </c>
      <c r="Z105" s="637"/>
      <c r="AA105" s="654" t="s">
        <v>90</v>
      </c>
      <c r="AB105" s="637"/>
      <c r="AC105" s="1"/>
      <c r="AD105" s="1"/>
      <c r="AE105" s="1"/>
      <c r="AF105" s="1"/>
      <c r="AG105" s="1"/>
      <c r="AH105" s="1"/>
      <c r="AI105" s="1"/>
      <c r="AJ105" s="1"/>
      <c r="AK105" s="1"/>
      <c r="AL105" s="1"/>
      <c r="AM105" s="1"/>
      <c r="AN105" s="1"/>
      <c r="AO105" s="1"/>
      <c r="AP105" s="1"/>
      <c r="AQ105" s="1"/>
      <c r="AR105" s="1"/>
    </row>
    <row r="106" spans="1:44" ht="14.4" customHeight="1">
      <c r="A106" s="678" t="s">
        <v>99</v>
      </c>
      <c r="B106" s="637"/>
      <c r="C106" s="666" t="s">
        <v>100</v>
      </c>
      <c r="D106" s="652"/>
      <c r="E106" s="656" t="s">
        <v>101</v>
      </c>
      <c r="F106" s="652"/>
      <c r="G106" s="656" t="s">
        <v>101</v>
      </c>
      <c r="H106" s="652"/>
      <c r="I106" s="656" t="s">
        <v>101</v>
      </c>
      <c r="J106" s="652"/>
      <c r="K106" s="656" t="s">
        <v>101</v>
      </c>
      <c r="L106" s="652"/>
      <c r="M106" s="656" t="s">
        <v>101</v>
      </c>
      <c r="N106" s="652"/>
      <c r="O106" s="656" t="s">
        <v>101</v>
      </c>
      <c r="P106" s="652"/>
      <c r="Q106" s="656" t="s">
        <v>101</v>
      </c>
      <c r="R106" s="652"/>
      <c r="S106" s="656" t="s">
        <v>101</v>
      </c>
      <c r="T106" s="652"/>
      <c r="U106" s="656" t="s">
        <v>101</v>
      </c>
      <c r="V106" s="652"/>
      <c r="W106" s="656" t="s">
        <v>101</v>
      </c>
      <c r="X106" s="652"/>
      <c r="Y106" s="656" t="s">
        <v>101</v>
      </c>
      <c r="Z106" s="652"/>
      <c r="AA106" s="656" t="s">
        <v>101</v>
      </c>
      <c r="AB106" s="652"/>
      <c r="AC106" s="1"/>
      <c r="AD106" s="1"/>
      <c r="AE106" s="1"/>
      <c r="AF106" s="1"/>
      <c r="AG106" s="1"/>
      <c r="AH106" s="1"/>
      <c r="AI106" s="1"/>
      <c r="AJ106" s="1"/>
      <c r="AK106" s="1"/>
      <c r="AL106" s="1"/>
      <c r="AM106" s="1"/>
      <c r="AN106" s="1"/>
      <c r="AO106" s="1"/>
      <c r="AP106" s="1"/>
      <c r="AQ106" s="1"/>
      <c r="AR106" s="1"/>
    </row>
    <row r="107" spans="1:44" ht="14.4" customHeight="1">
      <c r="A107" s="638"/>
      <c r="B107" s="639"/>
      <c r="C107" s="650" t="s">
        <v>102</v>
      </c>
      <c r="D107" s="649"/>
      <c r="E107" s="687" t="s">
        <v>101</v>
      </c>
      <c r="F107" s="649"/>
      <c r="G107" s="655" t="s">
        <v>101</v>
      </c>
      <c r="H107" s="649"/>
      <c r="I107" s="655" t="s">
        <v>101</v>
      </c>
      <c r="J107" s="649"/>
      <c r="K107" s="655" t="s">
        <v>101</v>
      </c>
      <c r="L107" s="649"/>
      <c r="M107" s="655" t="s">
        <v>101</v>
      </c>
      <c r="N107" s="649"/>
      <c r="O107" s="655" t="s">
        <v>101</v>
      </c>
      <c r="P107" s="649"/>
      <c r="Q107" s="655" t="s">
        <v>101</v>
      </c>
      <c r="R107" s="649"/>
      <c r="S107" s="655" t="s">
        <v>101</v>
      </c>
      <c r="T107" s="649"/>
      <c r="U107" s="655" t="s">
        <v>101</v>
      </c>
      <c r="V107" s="649"/>
      <c r="W107" s="655" t="s">
        <v>101</v>
      </c>
      <c r="X107" s="649"/>
      <c r="Y107" s="655" t="s">
        <v>101</v>
      </c>
      <c r="Z107" s="649"/>
      <c r="AA107" s="655" t="s">
        <v>101</v>
      </c>
      <c r="AB107" s="649"/>
      <c r="AC107" s="1"/>
      <c r="AD107" s="1"/>
      <c r="AE107" s="1"/>
      <c r="AF107" s="1"/>
      <c r="AG107" s="1"/>
      <c r="AH107" s="1"/>
      <c r="AI107" s="1"/>
      <c r="AJ107" s="1"/>
      <c r="AK107" s="1"/>
      <c r="AL107" s="1"/>
      <c r="AM107" s="1"/>
      <c r="AN107" s="1"/>
      <c r="AO107" s="1"/>
      <c r="AP107" s="1"/>
      <c r="AQ107" s="1"/>
      <c r="AR107" s="1"/>
    </row>
    <row r="108" spans="1:44" ht="14.4" customHeight="1">
      <c r="A108" s="638"/>
      <c r="B108" s="639"/>
      <c r="C108" s="650" t="s">
        <v>103</v>
      </c>
      <c r="D108" s="649"/>
      <c r="E108" s="655" t="s">
        <v>101</v>
      </c>
      <c r="F108" s="649"/>
      <c r="G108" s="655" t="s">
        <v>101</v>
      </c>
      <c r="H108" s="649"/>
      <c r="I108" s="655" t="s">
        <v>101</v>
      </c>
      <c r="J108" s="649"/>
      <c r="K108" s="655" t="s">
        <v>101</v>
      </c>
      <c r="L108" s="649"/>
      <c r="M108" s="655" t="s">
        <v>101</v>
      </c>
      <c r="N108" s="649"/>
      <c r="O108" s="655" t="s">
        <v>101</v>
      </c>
      <c r="P108" s="649"/>
      <c r="Q108" s="655" t="s">
        <v>101</v>
      </c>
      <c r="R108" s="649"/>
      <c r="S108" s="655" t="s">
        <v>101</v>
      </c>
      <c r="T108" s="649"/>
      <c r="U108" s="655" t="s">
        <v>101</v>
      </c>
      <c r="V108" s="649"/>
      <c r="W108" s="655" t="s">
        <v>101</v>
      </c>
      <c r="X108" s="649"/>
      <c r="Y108" s="655" t="s">
        <v>101</v>
      </c>
      <c r="Z108" s="649"/>
      <c r="AA108" s="655" t="s">
        <v>101</v>
      </c>
      <c r="AB108" s="649"/>
      <c r="AC108" s="1"/>
      <c r="AD108" s="1"/>
      <c r="AE108" s="1"/>
      <c r="AF108" s="1"/>
      <c r="AG108" s="1"/>
      <c r="AH108" s="1"/>
      <c r="AI108" s="1"/>
      <c r="AJ108" s="1"/>
      <c r="AK108" s="1"/>
      <c r="AL108" s="1"/>
      <c r="AM108" s="1"/>
      <c r="AN108" s="1"/>
      <c r="AO108" s="1"/>
      <c r="AP108" s="1"/>
      <c r="AQ108" s="1"/>
      <c r="AR108" s="1"/>
    </row>
    <row r="109" spans="1:44" ht="14.4" customHeight="1">
      <c r="A109" s="638"/>
      <c r="B109" s="639"/>
      <c r="C109" s="650" t="s">
        <v>104</v>
      </c>
      <c r="D109" s="649"/>
      <c r="E109" s="655" t="s">
        <v>101</v>
      </c>
      <c r="F109" s="649"/>
      <c r="G109" s="655" t="s">
        <v>101</v>
      </c>
      <c r="H109" s="649"/>
      <c r="I109" s="655" t="s">
        <v>101</v>
      </c>
      <c r="J109" s="649"/>
      <c r="K109" s="655" t="s">
        <v>101</v>
      </c>
      <c r="L109" s="649"/>
      <c r="M109" s="655" t="s">
        <v>101</v>
      </c>
      <c r="N109" s="649"/>
      <c r="O109" s="655" t="s">
        <v>101</v>
      </c>
      <c r="P109" s="649"/>
      <c r="Q109" s="655" t="s">
        <v>101</v>
      </c>
      <c r="R109" s="649"/>
      <c r="S109" s="655" t="s">
        <v>101</v>
      </c>
      <c r="T109" s="649"/>
      <c r="U109" s="655" t="s">
        <v>129</v>
      </c>
      <c r="V109" s="649"/>
      <c r="W109" s="655" t="s">
        <v>101</v>
      </c>
      <c r="X109" s="649"/>
      <c r="Y109" s="655" t="s">
        <v>101</v>
      </c>
      <c r="Z109" s="649"/>
      <c r="AA109" s="655" t="s">
        <v>101</v>
      </c>
      <c r="AB109" s="649"/>
      <c r="AC109" s="1"/>
      <c r="AD109" s="1"/>
      <c r="AE109" s="1"/>
      <c r="AF109" s="1"/>
      <c r="AG109" s="1"/>
      <c r="AH109" s="1"/>
      <c r="AI109" s="1"/>
      <c r="AJ109" s="1"/>
      <c r="AK109" s="1"/>
      <c r="AL109" s="1"/>
      <c r="AM109" s="1"/>
      <c r="AN109" s="1"/>
      <c r="AO109" s="1"/>
      <c r="AP109" s="1"/>
      <c r="AQ109" s="1"/>
      <c r="AR109" s="1"/>
    </row>
    <row r="110" spans="1:44" ht="14.4" customHeight="1">
      <c r="A110" s="638"/>
      <c r="B110" s="639"/>
      <c r="C110" s="650" t="s">
        <v>105</v>
      </c>
      <c r="D110" s="649"/>
      <c r="E110" s="658" t="s">
        <v>106</v>
      </c>
      <c r="F110" s="649"/>
      <c r="G110" s="655" t="s">
        <v>101</v>
      </c>
      <c r="H110" s="649"/>
      <c r="I110" s="655" t="s">
        <v>101</v>
      </c>
      <c r="J110" s="649"/>
      <c r="K110" s="655" t="s">
        <v>101</v>
      </c>
      <c r="L110" s="649"/>
      <c r="M110" s="655" t="s">
        <v>101</v>
      </c>
      <c r="N110" s="649"/>
      <c r="O110" s="655" t="s">
        <v>101</v>
      </c>
      <c r="P110" s="649"/>
      <c r="Q110" s="655" t="s">
        <v>101</v>
      </c>
      <c r="R110" s="649"/>
      <c r="S110" s="655" t="s">
        <v>101</v>
      </c>
      <c r="T110" s="649"/>
      <c r="U110" s="655" t="s">
        <v>101</v>
      </c>
      <c r="V110" s="649"/>
      <c r="W110" s="655" t="s">
        <v>101</v>
      </c>
      <c r="X110" s="649"/>
      <c r="Y110" s="655" t="s">
        <v>101</v>
      </c>
      <c r="Z110" s="649"/>
      <c r="AA110" s="655" t="s">
        <v>101</v>
      </c>
      <c r="AB110" s="649"/>
      <c r="AC110" s="1"/>
      <c r="AD110" s="1"/>
      <c r="AE110" s="1"/>
      <c r="AF110" s="1"/>
      <c r="AG110" s="1"/>
      <c r="AH110" s="1"/>
      <c r="AI110" s="1"/>
      <c r="AJ110" s="1"/>
      <c r="AK110" s="1"/>
      <c r="AL110" s="1"/>
      <c r="AM110" s="1"/>
      <c r="AN110" s="1"/>
      <c r="AO110" s="1"/>
      <c r="AP110" s="1"/>
      <c r="AQ110" s="1"/>
      <c r="AR110" s="1"/>
    </row>
    <row r="111" spans="1:44" ht="14.4" customHeight="1">
      <c r="A111" s="638"/>
      <c r="B111" s="639"/>
      <c r="C111" s="650"/>
      <c r="D111" s="649"/>
      <c r="E111" s="655"/>
      <c r="F111" s="649"/>
      <c r="G111" s="655"/>
      <c r="H111" s="649"/>
      <c r="I111" s="658"/>
      <c r="J111" s="649"/>
      <c r="K111" s="655"/>
      <c r="L111" s="649"/>
      <c r="M111" s="655"/>
      <c r="N111" s="649"/>
      <c r="O111" s="655"/>
      <c r="P111" s="649"/>
      <c r="Q111" s="655"/>
      <c r="R111" s="649"/>
      <c r="S111" s="655"/>
      <c r="T111" s="649"/>
      <c r="U111" s="655"/>
      <c r="V111" s="649"/>
      <c r="W111" s="655"/>
      <c r="X111" s="649"/>
      <c r="Y111" s="655"/>
      <c r="Z111" s="649"/>
      <c r="AA111" s="655"/>
      <c r="AB111" s="649"/>
      <c r="AC111" s="1"/>
      <c r="AD111" s="1"/>
      <c r="AE111" s="1"/>
      <c r="AF111" s="1"/>
      <c r="AG111" s="1"/>
      <c r="AH111" s="1"/>
      <c r="AI111" s="1"/>
      <c r="AJ111" s="1"/>
      <c r="AK111" s="1"/>
      <c r="AL111" s="1"/>
      <c r="AM111" s="1"/>
      <c r="AN111" s="1"/>
      <c r="AO111" s="1"/>
      <c r="AP111" s="1"/>
      <c r="AQ111" s="1"/>
      <c r="AR111" s="1"/>
    </row>
    <row r="112" spans="1:44" ht="14.4" customHeight="1">
      <c r="A112" s="638"/>
      <c r="B112" s="639"/>
      <c r="C112" s="650"/>
      <c r="D112" s="649"/>
      <c r="E112" s="655"/>
      <c r="F112" s="649"/>
      <c r="G112" s="655"/>
      <c r="H112" s="649"/>
      <c r="I112" s="655"/>
      <c r="J112" s="649"/>
      <c r="K112" s="655"/>
      <c r="L112" s="649"/>
      <c r="M112" s="655"/>
      <c r="N112" s="649"/>
      <c r="O112" s="655"/>
      <c r="P112" s="649"/>
      <c r="Q112" s="655"/>
      <c r="R112" s="649"/>
      <c r="S112" s="655"/>
      <c r="T112" s="649"/>
      <c r="U112" s="655"/>
      <c r="V112" s="649"/>
      <c r="W112" s="655"/>
      <c r="X112" s="649"/>
      <c r="Y112" s="655"/>
      <c r="Z112" s="649"/>
      <c r="AA112" s="655"/>
      <c r="AB112" s="649"/>
      <c r="AC112" s="1"/>
      <c r="AD112" s="1"/>
      <c r="AE112" s="1"/>
      <c r="AF112" s="1"/>
      <c r="AG112" s="1"/>
      <c r="AH112" s="1"/>
      <c r="AI112" s="1"/>
      <c r="AJ112" s="1"/>
      <c r="AK112" s="1"/>
      <c r="AL112" s="1"/>
      <c r="AM112" s="1"/>
      <c r="AN112" s="1"/>
      <c r="AO112" s="1"/>
      <c r="AP112" s="1"/>
      <c r="AQ112" s="1"/>
      <c r="AR112" s="1"/>
    </row>
    <row r="113" spans="1:44" ht="14.4" customHeight="1">
      <c r="A113" s="638"/>
      <c r="B113" s="639"/>
      <c r="C113" s="650"/>
      <c r="D113" s="649"/>
      <c r="E113" s="655"/>
      <c r="F113" s="649"/>
      <c r="G113" s="655"/>
      <c r="H113" s="649"/>
      <c r="I113" s="655"/>
      <c r="J113" s="649"/>
      <c r="K113" s="655"/>
      <c r="L113" s="649"/>
      <c r="M113" s="655"/>
      <c r="N113" s="649"/>
      <c r="O113" s="655"/>
      <c r="P113" s="649"/>
      <c r="Q113" s="655"/>
      <c r="R113" s="649"/>
      <c r="S113" s="655"/>
      <c r="T113" s="649"/>
      <c r="U113" s="655"/>
      <c r="V113" s="649"/>
      <c r="W113" s="655"/>
      <c r="X113" s="649"/>
      <c r="Y113" s="655"/>
      <c r="Z113" s="649"/>
      <c r="AA113" s="655"/>
      <c r="AB113" s="649"/>
      <c r="AC113" s="1"/>
      <c r="AD113" s="1"/>
      <c r="AE113" s="1"/>
      <c r="AF113" s="1"/>
      <c r="AG113" s="1"/>
      <c r="AH113" s="1"/>
      <c r="AI113" s="1"/>
      <c r="AJ113" s="1"/>
      <c r="AK113" s="1"/>
      <c r="AL113" s="1"/>
      <c r="AM113" s="1"/>
      <c r="AN113" s="1"/>
      <c r="AO113" s="1"/>
      <c r="AP113" s="1"/>
      <c r="AQ113" s="1"/>
      <c r="AR113" s="1"/>
    </row>
    <row r="114" spans="1:44" ht="14.4" customHeight="1">
      <c r="A114" s="638"/>
      <c r="B114" s="639"/>
      <c r="C114" s="650"/>
      <c r="D114" s="649"/>
      <c r="E114" s="655"/>
      <c r="F114" s="649"/>
      <c r="G114" s="655"/>
      <c r="H114" s="649"/>
      <c r="I114" s="655"/>
      <c r="J114" s="649"/>
      <c r="K114" s="655"/>
      <c r="L114" s="649"/>
      <c r="M114" s="655"/>
      <c r="N114" s="649"/>
      <c r="O114" s="655"/>
      <c r="P114" s="649"/>
      <c r="Q114" s="655"/>
      <c r="R114" s="649"/>
      <c r="S114" s="655"/>
      <c r="T114" s="649"/>
      <c r="U114" s="655"/>
      <c r="V114" s="649"/>
      <c r="W114" s="655"/>
      <c r="X114" s="649"/>
      <c r="Y114" s="655"/>
      <c r="Z114" s="649"/>
      <c r="AA114" s="655"/>
      <c r="AB114" s="649"/>
      <c r="AC114" s="1"/>
      <c r="AD114" s="1"/>
      <c r="AE114" s="1"/>
      <c r="AF114" s="1"/>
      <c r="AG114" s="1"/>
      <c r="AH114" s="1"/>
      <c r="AI114" s="1"/>
      <c r="AJ114" s="1"/>
      <c r="AK114" s="1"/>
      <c r="AL114" s="1"/>
      <c r="AM114" s="1"/>
      <c r="AN114" s="1"/>
      <c r="AO114" s="1"/>
      <c r="AP114" s="1"/>
      <c r="AQ114" s="1"/>
      <c r="AR114" s="1"/>
    </row>
    <row r="115" spans="1:44" ht="14.4" customHeight="1">
      <c r="A115" s="638"/>
      <c r="B115" s="639"/>
      <c r="C115" s="650"/>
      <c r="D115" s="649"/>
      <c r="E115" s="655"/>
      <c r="F115" s="649"/>
      <c r="G115" s="655"/>
      <c r="H115" s="649"/>
      <c r="I115" s="655"/>
      <c r="J115" s="649"/>
      <c r="K115" s="655"/>
      <c r="L115" s="649"/>
      <c r="M115" s="655"/>
      <c r="N115" s="649"/>
      <c r="O115" s="655"/>
      <c r="P115" s="649"/>
      <c r="Q115" s="655"/>
      <c r="R115" s="649"/>
      <c r="S115" s="655"/>
      <c r="T115" s="649"/>
      <c r="U115" s="655"/>
      <c r="V115" s="649"/>
      <c r="W115" s="655"/>
      <c r="X115" s="649"/>
      <c r="Y115" s="655"/>
      <c r="Z115" s="649"/>
      <c r="AA115" s="655"/>
      <c r="AB115" s="649"/>
      <c r="AC115" s="1"/>
      <c r="AD115" s="1"/>
      <c r="AE115" s="1"/>
      <c r="AF115" s="1"/>
      <c r="AG115" s="1"/>
      <c r="AH115" s="1"/>
      <c r="AI115" s="1"/>
      <c r="AJ115" s="1"/>
      <c r="AK115" s="1"/>
      <c r="AL115" s="1"/>
      <c r="AM115" s="1"/>
      <c r="AN115" s="1"/>
      <c r="AO115" s="1"/>
      <c r="AP115" s="1"/>
      <c r="AQ115" s="1"/>
      <c r="AR115" s="1"/>
    </row>
    <row r="116" spans="1:44" ht="14.4" customHeight="1">
      <c r="A116" s="638"/>
      <c r="B116" s="639"/>
      <c r="C116" s="650"/>
      <c r="D116" s="649"/>
      <c r="E116" s="655"/>
      <c r="F116" s="649"/>
      <c r="G116" s="655"/>
      <c r="H116" s="649"/>
      <c r="I116" s="655"/>
      <c r="J116" s="649"/>
      <c r="K116" s="655"/>
      <c r="L116" s="649"/>
      <c r="M116" s="655"/>
      <c r="N116" s="649"/>
      <c r="O116" s="655"/>
      <c r="P116" s="649"/>
      <c r="Q116" s="655"/>
      <c r="R116" s="649"/>
      <c r="S116" s="655"/>
      <c r="T116" s="649"/>
      <c r="U116" s="655"/>
      <c r="V116" s="649"/>
      <c r="W116" s="655"/>
      <c r="X116" s="649"/>
      <c r="Y116" s="655"/>
      <c r="Z116" s="649"/>
      <c r="AA116" s="655"/>
      <c r="AB116" s="649"/>
      <c r="AC116" s="1"/>
      <c r="AD116" s="1"/>
      <c r="AE116" s="1"/>
      <c r="AF116" s="1"/>
      <c r="AG116" s="1"/>
      <c r="AH116" s="1"/>
      <c r="AI116" s="1"/>
      <c r="AJ116" s="1"/>
      <c r="AK116" s="1"/>
      <c r="AL116" s="1"/>
      <c r="AM116" s="1"/>
      <c r="AN116" s="1"/>
      <c r="AO116" s="1"/>
      <c r="AP116" s="1"/>
      <c r="AQ116" s="1"/>
      <c r="AR116" s="1"/>
    </row>
    <row r="117" spans="1:44" ht="14.4" customHeight="1">
      <c r="A117" s="638"/>
      <c r="B117" s="639"/>
      <c r="C117" s="650"/>
      <c r="D117" s="649"/>
      <c r="E117" s="655"/>
      <c r="F117" s="649"/>
      <c r="G117" s="655"/>
      <c r="H117" s="649"/>
      <c r="I117" s="655"/>
      <c r="J117" s="649"/>
      <c r="K117" s="655"/>
      <c r="L117" s="649"/>
      <c r="M117" s="655"/>
      <c r="N117" s="649"/>
      <c r="O117" s="655"/>
      <c r="P117" s="649"/>
      <c r="Q117" s="655"/>
      <c r="R117" s="649"/>
      <c r="S117" s="655"/>
      <c r="T117" s="649"/>
      <c r="U117" s="655"/>
      <c r="V117" s="649"/>
      <c r="W117" s="655"/>
      <c r="X117" s="649"/>
      <c r="Y117" s="655"/>
      <c r="Z117" s="649"/>
      <c r="AA117" s="655"/>
      <c r="AB117" s="649"/>
      <c r="AC117" s="1"/>
      <c r="AD117" s="1"/>
      <c r="AE117" s="1"/>
      <c r="AF117" s="1"/>
      <c r="AG117" s="1"/>
      <c r="AH117" s="1"/>
      <c r="AI117" s="1"/>
      <c r="AJ117" s="1"/>
      <c r="AK117" s="1"/>
      <c r="AL117" s="1"/>
      <c r="AM117" s="1"/>
      <c r="AN117" s="1"/>
      <c r="AO117" s="1"/>
      <c r="AP117" s="1"/>
      <c r="AQ117" s="1"/>
      <c r="AR117" s="1"/>
    </row>
    <row r="118" spans="1:44" ht="14.4" customHeight="1">
      <c r="A118" s="638"/>
      <c r="B118" s="639"/>
      <c r="C118" s="650"/>
      <c r="D118" s="649"/>
      <c r="E118" s="655"/>
      <c r="F118" s="649"/>
      <c r="G118" s="655"/>
      <c r="H118" s="649"/>
      <c r="I118" s="655"/>
      <c r="J118" s="649"/>
      <c r="K118" s="655"/>
      <c r="L118" s="649"/>
      <c r="M118" s="655"/>
      <c r="N118" s="649"/>
      <c r="O118" s="655"/>
      <c r="P118" s="649"/>
      <c r="Q118" s="655"/>
      <c r="R118" s="649"/>
      <c r="S118" s="655"/>
      <c r="T118" s="649"/>
      <c r="U118" s="655"/>
      <c r="V118" s="649"/>
      <c r="W118" s="655"/>
      <c r="X118" s="649"/>
      <c r="Y118" s="655"/>
      <c r="Z118" s="649"/>
      <c r="AA118" s="655"/>
      <c r="AB118" s="649"/>
      <c r="AC118" s="1"/>
      <c r="AD118" s="1"/>
      <c r="AE118" s="1"/>
      <c r="AF118" s="1"/>
      <c r="AG118" s="1"/>
      <c r="AH118" s="1"/>
      <c r="AI118" s="1"/>
      <c r="AJ118" s="1"/>
      <c r="AK118" s="1"/>
      <c r="AL118" s="1"/>
      <c r="AM118" s="1"/>
      <c r="AN118" s="1"/>
      <c r="AO118" s="1"/>
      <c r="AP118" s="1"/>
      <c r="AQ118" s="1"/>
      <c r="AR118" s="1"/>
    </row>
    <row r="119" spans="1:44" ht="14.4" customHeight="1">
      <c r="A119" s="638"/>
      <c r="B119" s="639"/>
      <c r="C119" s="650"/>
      <c r="D119" s="649"/>
      <c r="E119" s="655"/>
      <c r="F119" s="649"/>
      <c r="G119" s="655"/>
      <c r="H119" s="649"/>
      <c r="I119" s="655"/>
      <c r="J119" s="649"/>
      <c r="K119" s="655"/>
      <c r="L119" s="649"/>
      <c r="M119" s="655"/>
      <c r="N119" s="649"/>
      <c r="O119" s="655"/>
      <c r="P119" s="649"/>
      <c r="Q119" s="655"/>
      <c r="R119" s="649"/>
      <c r="S119" s="655"/>
      <c r="T119" s="649"/>
      <c r="U119" s="655"/>
      <c r="V119" s="649"/>
      <c r="W119" s="655"/>
      <c r="X119" s="649"/>
      <c r="Y119" s="655"/>
      <c r="Z119" s="649"/>
      <c r="AA119" s="655"/>
      <c r="AB119" s="649"/>
      <c r="AC119" s="1"/>
      <c r="AD119" s="1"/>
      <c r="AE119" s="1"/>
      <c r="AF119" s="1"/>
      <c r="AG119" s="1"/>
      <c r="AH119" s="1"/>
      <c r="AI119" s="1"/>
      <c r="AJ119" s="1"/>
      <c r="AK119" s="1"/>
      <c r="AL119" s="1"/>
      <c r="AM119" s="1"/>
      <c r="AN119" s="1"/>
      <c r="AO119" s="1"/>
      <c r="AP119" s="1"/>
      <c r="AQ119" s="1"/>
      <c r="AR119" s="1"/>
    </row>
    <row r="120" spans="1:44" ht="14.4" customHeight="1">
      <c r="A120" s="638"/>
      <c r="B120" s="639"/>
      <c r="C120" s="650"/>
      <c r="D120" s="649"/>
      <c r="E120" s="655"/>
      <c r="F120" s="649"/>
      <c r="G120" s="655"/>
      <c r="H120" s="649"/>
      <c r="I120" s="655"/>
      <c r="J120" s="649"/>
      <c r="K120" s="655"/>
      <c r="L120" s="649"/>
      <c r="M120" s="655"/>
      <c r="N120" s="649"/>
      <c r="O120" s="655"/>
      <c r="P120" s="649"/>
      <c r="Q120" s="655"/>
      <c r="R120" s="649"/>
      <c r="S120" s="655"/>
      <c r="T120" s="649"/>
      <c r="U120" s="655"/>
      <c r="V120" s="649"/>
      <c r="W120" s="655"/>
      <c r="X120" s="649"/>
      <c r="Y120" s="655"/>
      <c r="Z120" s="649"/>
      <c r="AA120" s="655"/>
      <c r="AB120" s="649"/>
      <c r="AC120" s="1"/>
      <c r="AD120" s="1"/>
      <c r="AE120" s="1"/>
      <c r="AF120" s="1"/>
      <c r="AG120" s="1"/>
      <c r="AH120" s="1"/>
      <c r="AI120" s="1"/>
      <c r="AJ120" s="1"/>
      <c r="AK120" s="1"/>
      <c r="AL120" s="1"/>
      <c r="AM120" s="1"/>
      <c r="AN120" s="1"/>
      <c r="AO120" s="1"/>
      <c r="AP120" s="1"/>
      <c r="AQ120" s="1"/>
      <c r="AR120" s="1"/>
    </row>
    <row r="121" spans="1:44" ht="14.4" customHeight="1">
      <c r="A121" s="638"/>
      <c r="B121" s="639"/>
      <c r="C121" s="650"/>
      <c r="D121" s="649"/>
      <c r="E121" s="655"/>
      <c r="F121" s="649"/>
      <c r="G121" s="655"/>
      <c r="H121" s="649"/>
      <c r="I121" s="655"/>
      <c r="J121" s="649"/>
      <c r="K121" s="655"/>
      <c r="L121" s="649"/>
      <c r="M121" s="655"/>
      <c r="N121" s="649"/>
      <c r="O121" s="655"/>
      <c r="P121" s="649"/>
      <c r="Q121" s="655"/>
      <c r="R121" s="649"/>
      <c r="S121" s="655"/>
      <c r="T121" s="649"/>
      <c r="U121" s="655"/>
      <c r="V121" s="649"/>
      <c r="W121" s="655"/>
      <c r="X121" s="649"/>
      <c r="Y121" s="655"/>
      <c r="Z121" s="649"/>
      <c r="AA121" s="655"/>
      <c r="AB121" s="649"/>
      <c r="AC121" s="1"/>
      <c r="AD121" s="1"/>
      <c r="AE121" s="1"/>
      <c r="AF121" s="1"/>
      <c r="AG121" s="1"/>
      <c r="AH121" s="1"/>
      <c r="AI121" s="1"/>
      <c r="AJ121" s="1"/>
      <c r="AK121" s="1"/>
      <c r="AL121" s="1"/>
      <c r="AM121" s="1"/>
      <c r="AN121" s="1"/>
      <c r="AO121" s="1"/>
      <c r="AP121" s="1"/>
      <c r="AQ121" s="1"/>
      <c r="AR121" s="1"/>
    </row>
    <row r="122" spans="1:44" ht="14.4" customHeight="1">
      <c r="A122" s="638"/>
      <c r="B122" s="639"/>
      <c r="C122" s="650"/>
      <c r="D122" s="649"/>
      <c r="E122" s="655"/>
      <c r="F122" s="649"/>
      <c r="G122" s="655"/>
      <c r="H122" s="649"/>
      <c r="I122" s="655"/>
      <c r="J122" s="649"/>
      <c r="K122" s="655"/>
      <c r="L122" s="649"/>
      <c r="M122" s="655"/>
      <c r="N122" s="649"/>
      <c r="O122" s="655"/>
      <c r="P122" s="649"/>
      <c r="Q122" s="655"/>
      <c r="R122" s="649"/>
      <c r="S122" s="655"/>
      <c r="T122" s="649"/>
      <c r="U122" s="655"/>
      <c r="V122" s="649"/>
      <c r="W122" s="655"/>
      <c r="X122" s="649"/>
      <c r="Y122" s="655"/>
      <c r="Z122" s="649"/>
      <c r="AA122" s="655"/>
      <c r="AB122" s="649"/>
      <c r="AC122" s="1"/>
      <c r="AD122" s="1"/>
      <c r="AE122" s="1"/>
      <c r="AF122" s="1"/>
      <c r="AG122" s="1"/>
      <c r="AH122" s="1"/>
      <c r="AI122" s="1"/>
      <c r="AJ122" s="1"/>
      <c r="AK122" s="1"/>
      <c r="AL122" s="1"/>
      <c r="AM122" s="1"/>
      <c r="AN122" s="1"/>
      <c r="AO122" s="1"/>
      <c r="AP122" s="1"/>
      <c r="AQ122" s="1"/>
      <c r="AR122" s="1"/>
    </row>
    <row r="123" spans="1:44" ht="14.4" customHeight="1">
      <c r="A123" s="640"/>
      <c r="B123" s="642"/>
      <c r="C123" s="704"/>
      <c r="D123" s="669"/>
      <c r="E123" s="667"/>
      <c r="F123" s="662"/>
      <c r="G123" s="667"/>
      <c r="H123" s="662"/>
      <c r="I123" s="667"/>
      <c r="J123" s="662"/>
      <c r="K123" s="667"/>
      <c r="L123" s="662"/>
      <c r="M123" s="668"/>
      <c r="N123" s="669"/>
      <c r="O123" s="667"/>
      <c r="P123" s="662"/>
      <c r="Q123" s="667"/>
      <c r="R123" s="662"/>
      <c r="S123" s="667"/>
      <c r="T123" s="662"/>
      <c r="U123" s="667"/>
      <c r="V123" s="662"/>
      <c r="W123" s="667"/>
      <c r="X123" s="662"/>
      <c r="Y123" s="667"/>
      <c r="Z123" s="662"/>
      <c r="AA123" s="667"/>
      <c r="AB123" s="662"/>
      <c r="AC123" s="1"/>
      <c r="AD123" s="1"/>
      <c r="AE123" s="1"/>
      <c r="AF123" s="1"/>
      <c r="AG123" s="1"/>
      <c r="AH123" s="1"/>
      <c r="AI123" s="1"/>
      <c r="AJ123" s="1"/>
      <c r="AK123" s="1"/>
      <c r="AL123" s="1"/>
      <c r="AM123" s="1"/>
      <c r="AN123" s="1"/>
      <c r="AO123" s="1"/>
      <c r="AP123" s="1"/>
      <c r="AQ123" s="1"/>
      <c r="AR123" s="1"/>
    </row>
    <row r="124" spans="1:44" ht="14.4" customHeight="1">
      <c r="A124" s="708" t="s">
        <v>107</v>
      </c>
      <c r="B124" s="637"/>
      <c r="C124" s="656" t="s">
        <v>108</v>
      </c>
      <c r="D124" s="652"/>
      <c r="E124" s="668" t="s">
        <v>101</v>
      </c>
      <c r="F124" s="669"/>
      <c r="G124" s="656" t="s">
        <v>101</v>
      </c>
      <c r="H124" s="652"/>
      <c r="I124" s="711" t="s">
        <v>101</v>
      </c>
      <c r="J124" s="637"/>
      <c r="K124" s="656" t="s">
        <v>101</v>
      </c>
      <c r="L124" s="652"/>
      <c r="M124" s="656" t="s">
        <v>101</v>
      </c>
      <c r="N124" s="652"/>
      <c r="O124" s="656" t="s">
        <v>101</v>
      </c>
      <c r="P124" s="652"/>
      <c r="Q124" s="656" t="s">
        <v>101</v>
      </c>
      <c r="R124" s="652"/>
      <c r="S124" s="656" t="s">
        <v>101</v>
      </c>
      <c r="T124" s="652"/>
      <c r="U124" s="656" t="s">
        <v>101</v>
      </c>
      <c r="V124" s="652"/>
      <c r="W124" s="656" t="s">
        <v>101</v>
      </c>
      <c r="X124" s="652"/>
      <c r="Y124" s="656" t="s">
        <v>101</v>
      </c>
      <c r="Z124" s="652"/>
      <c r="AA124" s="656" t="s">
        <v>101</v>
      </c>
      <c r="AB124" s="652"/>
      <c r="AC124" s="1"/>
      <c r="AD124" s="1"/>
      <c r="AE124" s="1"/>
      <c r="AF124" s="1"/>
      <c r="AG124" s="1"/>
      <c r="AH124" s="1"/>
      <c r="AI124" s="1"/>
      <c r="AJ124" s="1"/>
      <c r="AK124" s="1"/>
      <c r="AL124" s="1"/>
      <c r="AM124" s="1"/>
      <c r="AN124" s="1"/>
      <c r="AO124" s="1"/>
      <c r="AP124" s="1"/>
      <c r="AQ124" s="1"/>
      <c r="AR124" s="1"/>
    </row>
    <row r="125" spans="1:44" ht="14.4" customHeight="1">
      <c r="A125" s="638"/>
      <c r="B125" s="639"/>
      <c r="C125" s="655" t="s">
        <v>110</v>
      </c>
      <c r="D125" s="649"/>
      <c r="E125" s="658" t="s">
        <v>112</v>
      </c>
      <c r="F125" s="649"/>
      <c r="G125" s="655" t="s">
        <v>101</v>
      </c>
      <c r="H125" s="649"/>
      <c r="I125" s="658" t="s">
        <v>112</v>
      </c>
      <c r="J125" s="649"/>
      <c r="K125" s="655" t="s">
        <v>101</v>
      </c>
      <c r="L125" s="649"/>
      <c r="M125" s="655" t="s">
        <v>101</v>
      </c>
      <c r="N125" s="649"/>
      <c r="O125" s="655" t="s">
        <v>101</v>
      </c>
      <c r="P125" s="649"/>
      <c r="Q125" s="655" t="s">
        <v>101</v>
      </c>
      <c r="R125" s="649"/>
      <c r="S125" s="655" t="s">
        <v>101</v>
      </c>
      <c r="T125" s="649"/>
      <c r="U125" s="655" t="s">
        <v>101</v>
      </c>
      <c r="V125" s="649"/>
      <c r="W125" s="655" t="s">
        <v>101</v>
      </c>
      <c r="X125" s="649"/>
      <c r="Y125" s="655" t="s">
        <v>101</v>
      </c>
      <c r="Z125" s="649"/>
      <c r="AA125" s="655" t="s">
        <v>101</v>
      </c>
      <c r="AB125" s="649"/>
      <c r="AC125" s="1"/>
      <c r="AD125" s="1"/>
      <c r="AE125" s="1"/>
      <c r="AF125" s="1"/>
      <c r="AG125" s="1"/>
      <c r="AH125" s="1"/>
      <c r="AI125" s="1"/>
      <c r="AJ125" s="1"/>
      <c r="AK125" s="1"/>
      <c r="AL125" s="1"/>
      <c r="AM125" s="1"/>
      <c r="AN125" s="1"/>
      <c r="AO125" s="1"/>
      <c r="AP125" s="1"/>
      <c r="AQ125" s="1"/>
      <c r="AR125" s="1"/>
    </row>
    <row r="126" spans="1:44" ht="14.4" customHeight="1">
      <c r="A126" s="638"/>
      <c r="B126" s="639"/>
      <c r="C126" s="655" t="s">
        <v>113</v>
      </c>
      <c r="D126" s="649"/>
      <c r="E126" s="658" t="s">
        <v>130</v>
      </c>
      <c r="F126" s="649"/>
      <c r="G126" s="655" t="s">
        <v>101</v>
      </c>
      <c r="H126" s="649"/>
      <c r="I126" s="655" t="s">
        <v>101</v>
      </c>
      <c r="J126" s="649"/>
      <c r="K126" s="655" t="s">
        <v>101</v>
      </c>
      <c r="L126" s="649"/>
      <c r="M126" s="655" t="s">
        <v>101</v>
      </c>
      <c r="N126" s="649"/>
      <c r="O126" s="655" t="s">
        <v>101</v>
      </c>
      <c r="P126" s="649"/>
      <c r="Q126" s="655" t="s">
        <v>101</v>
      </c>
      <c r="R126" s="649"/>
      <c r="S126" s="655" t="s">
        <v>101</v>
      </c>
      <c r="T126" s="649"/>
      <c r="U126" s="655" t="s">
        <v>101</v>
      </c>
      <c r="V126" s="649"/>
      <c r="W126" s="655" t="s">
        <v>101</v>
      </c>
      <c r="X126" s="649"/>
      <c r="Y126" s="655" t="s">
        <v>101</v>
      </c>
      <c r="Z126" s="649"/>
      <c r="AA126" s="655" t="s">
        <v>101</v>
      </c>
      <c r="AB126" s="649"/>
      <c r="AC126" s="1"/>
      <c r="AD126" s="1"/>
      <c r="AE126" s="1"/>
      <c r="AF126" s="1"/>
      <c r="AG126" s="1"/>
      <c r="AH126" s="1"/>
      <c r="AI126" s="1"/>
      <c r="AJ126" s="1"/>
      <c r="AK126" s="1"/>
      <c r="AL126" s="1"/>
      <c r="AM126" s="1"/>
      <c r="AN126" s="1"/>
      <c r="AO126" s="1"/>
      <c r="AP126" s="1"/>
      <c r="AQ126" s="1"/>
      <c r="AR126" s="1"/>
    </row>
    <row r="127" spans="1:44" ht="14.4" customHeight="1">
      <c r="A127" s="638"/>
      <c r="B127" s="639"/>
      <c r="C127" s="655" t="s">
        <v>115</v>
      </c>
      <c r="D127" s="649"/>
      <c r="E127" s="658" t="s">
        <v>131</v>
      </c>
      <c r="F127" s="649"/>
      <c r="G127" s="655" t="s">
        <v>101</v>
      </c>
      <c r="H127" s="649"/>
      <c r="I127" s="655" t="s">
        <v>101</v>
      </c>
      <c r="J127" s="649"/>
      <c r="K127" s="655" t="s">
        <v>101</v>
      </c>
      <c r="L127" s="649"/>
      <c r="M127" s="655" t="s">
        <v>101</v>
      </c>
      <c r="N127" s="649"/>
      <c r="O127" s="655" t="s">
        <v>101</v>
      </c>
      <c r="P127" s="649"/>
      <c r="Q127" s="655" t="s">
        <v>101</v>
      </c>
      <c r="R127" s="649"/>
      <c r="S127" s="655" t="s">
        <v>101</v>
      </c>
      <c r="T127" s="649"/>
      <c r="U127" s="655" t="s">
        <v>101</v>
      </c>
      <c r="V127" s="649"/>
      <c r="W127" s="655" t="s">
        <v>101</v>
      </c>
      <c r="X127" s="649"/>
      <c r="Y127" s="655" t="s">
        <v>101</v>
      </c>
      <c r="Z127" s="649"/>
      <c r="AA127" s="655" t="s">
        <v>101</v>
      </c>
      <c r="AB127" s="649"/>
      <c r="AC127" s="1"/>
      <c r="AD127" s="1"/>
      <c r="AE127" s="1"/>
      <c r="AF127" s="1"/>
      <c r="AG127" s="1"/>
      <c r="AH127" s="1"/>
      <c r="AI127" s="1"/>
      <c r="AJ127" s="1"/>
      <c r="AK127" s="1"/>
      <c r="AL127" s="1"/>
      <c r="AM127" s="1"/>
      <c r="AN127" s="1"/>
      <c r="AO127" s="1"/>
      <c r="AP127" s="1"/>
      <c r="AQ127" s="1"/>
      <c r="AR127" s="1"/>
    </row>
    <row r="128" spans="1:44" ht="14.4" customHeight="1">
      <c r="A128" s="638"/>
      <c r="B128" s="639"/>
      <c r="C128" s="655">
        <v>0</v>
      </c>
      <c r="D128" s="649"/>
      <c r="E128" s="655" t="s">
        <v>101</v>
      </c>
      <c r="F128" s="649"/>
      <c r="G128" s="655" t="s">
        <v>101</v>
      </c>
      <c r="H128" s="649"/>
      <c r="I128" s="655" t="s">
        <v>101</v>
      </c>
      <c r="J128" s="649"/>
      <c r="K128" s="655" t="s">
        <v>101</v>
      </c>
      <c r="L128" s="649"/>
      <c r="M128" s="655" t="s">
        <v>101</v>
      </c>
      <c r="N128" s="649"/>
      <c r="O128" s="655" t="s">
        <v>101</v>
      </c>
      <c r="P128" s="649"/>
      <c r="Q128" s="655" t="s">
        <v>101</v>
      </c>
      <c r="R128" s="649"/>
      <c r="S128" s="655" t="s">
        <v>101</v>
      </c>
      <c r="T128" s="649"/>
      <c r="U128" s="655" t="s">
        <v>101</v>
      </c>
      <c r="V128" s="649"/>
      <c r="W128" s="655" t="s">
        <v>101</v>
      </c>
      <c r="X128" s="649"/>
      <c r="Y128" s="655" t="s">
        <v>101</v>
      </c>
      <c r="Z128" s="649"/>
      <c r="AA128" s="655" t="s">
        <v>101</v>
      </c>
      <c r="AB128" s="649"/>
      <c r="AC128" s="1"/>
      <c r="AD128" s="1"/>
      <c r="AE128" s="1"/>
      <c r="AF128" s="1"/>
      <c r="AG128" s="1"/>
      <c r="AH128" s="1"/>
      <c r="AI128" s="1"/>
      <c r="AJ128" s="1"/>
      <c r="AK128" s="1"/>
      <c r="AL128" s="1"/>
      <c r="AM128" s="1"/>
      <c r="AN128" s="1"/>
      <c r="AO128" s="1"/>
      <c r="AP128" s="1"/>
      <c r="AQ128" s="1"/>
      <c r="AR128" s="1"/>
    </row>
    <row r="129" spans="1:44" ht="14.4" customHeight="1">
      <c r="A129" s="638"/>
      <c r="B129" s="639"/>
      <c r="C129" s="655">
        <v>0</v>
      </c>
      <c r="D129" s="649"/>
      <c r="E129" s="655" t="s">
        <v>101</v>
      </c>
      <c r="F129" s="649"/>
      <c r="G129" s="655" t="s">
        <v>101</v>
      </c>
      <c r="H129" s="649"/>
      <c r="I129" s="655" t="s">
        <v>101</v>
      </c>
      <c r="J129" s="649"/>
      <c r="K129" s="655" t="s">
        <v>101</v>
      </c>
      <c r="L129" s="649"/>
      <c r="M129" s="655" t="s">
        <v>101</v>
      </c>
      <c r="N129" s="649"/>
      <c r="O129" s="655" t="s">
        <v>101</v>
      </c>
      <c r="P129" s="649"/>
      <c r="Q129" s="655" t="s">
        <v>101</v>
      </c>
      <c r="R129" s="649"/>
      <c r="S129" s="655" t="s">
        <v>101</v>
      </c>
      <c r="T129" s="649"/>
      <c r="U129" s="655" t="s">
        <v>101</v>
      </c>
      <c r="V129" s="649"/>
      <c r="W129" s="655" t="s">
        <v>101</v>
      </c>
      <c r="X129" s="649"/>
      <c r="Y129" s="655" t="s">
        <v>101</v>
      </c>
      <c r="Z129" s="649"/>
      <c r="AA129" s="655" t="s">
        <v>101</v>
      </c>
      <c r="AB129" s="649"/>
      <c r="AC129" s="1"/>
      <c r="AD129" s="1"/>
      <c r="AE129" s="1"/>
      <c r="AF129" s="1"/>
      <c r="AG129" s="1"/>
      <c r="AH129" s="1"/>
      <c r="AI129" s="1"/>
      <c r="AJ129" s="1"/>
      <c r="AK129" s="1"/>
      <c r="AL129" s="1"/>
      <c r="AM129" s="1"/>
      <c r="AN129" s="1"/>
      <c r="AO129" s="1"/>
      <c r="AP129" s="1"/>
      <c r="AQ129" s="1"/>
      <c r="AR129" s="1"/>
    </row>
    <row r="130" spans="1:44" ht="14.4" customHeight="1">
      <c r="A130" s="638"/>
      <c r="B130" s="639"/>
      <c r="C130" s="667">
        <v>0</v>
      </c>
      <c r="D130" s="662"/>
      <c r="E130" s="668" t="s">
        <v>101</v>
      </c>
      <c r="F130" s="669"/>
      <c r="G130" s="668" t="s">
        <v>101</v>
      </c>
      <c r="H130" s="669"/>
      <c r="I130" s="668" t="s">
        <v>101</v>
      </c>
      <c r="J130" s="669"/>
      <c r="K130" s="668" t="s">
        <v>101</v>
      </c>
      <c r="L130" s="669"/>
      <c r="M130" s="668" t="s">
        <v>101</v>
      </c>
      <c r="N130" s="669"/>
      <c r="O130" s="668" t="s">
        <v>101</v>
      </c>
      <c r="P130" s="669"/>
      <c r="Q130" s="668" t="s">
        <v>101</v>
      </c>
      <c r="R130" s="669"/>
      <c r="S130" s="668" t="s">
        <v>101</v>
      </c>
      <c r="T130" s="669"/>
      <c r="U130" s="668" t="s">
        <v>101</v>
      </c>
      <c r="V130" s="669"/>
      <c r="W130" s="668" t="s">
        <v>101</v>
      </c>
      <c r="X130" s="669"/>
      <c r="Y130" s="668" t="s">
        <v>101</v>
      </c>
      <c r="Z130" s="669"/>
      <c r="AA130" s="722" t="s">
        <v>101</v>
      </c>
      <c r="AB130" s="723"/>
      <c r="AC130" s="151"/>
      <c r="AD130" s="1"/>
      <c r="AE130" s="1"/>
      <c r="AF130" s="1"/>
      <c r="AG130" s="1"/>
      <c r="AH130" s="1"/>
      <c r="AI130" s="1"/>
      <c r="AJ130" s="1"/>
      <c r="AK130" s="1"/>
      <c r="AL130" s="1"/>
      <c r="AM130" s="1"/>
      <c r="AN130" s="1"/>
      <c r="AO130" s="1"/>
      <c r="AP130" s="1"/>
      <c r="AQ130" s="1"/>
      <c r="AR130" s="1"/>
    </row>
    <row r="131" spans="1:44" ht="14.4" customHeight="1">
      <c r="A131" s="708" t="s">
        <v>117</v>
      </c>
      <c r="B131" s="637"/>
      <c r="C131" s="672" t="s">
        <v>118</v>
      </c>
      <c r="D131" s="673"/>
      <c r="E131" s="653" t="s">
        <v>132</v>
      </c>
      <c r="F131" s="652"/>
      <c r="G131" s="656" t="s">
        <v>101</v>
      </c>
      <c r="H131" s="652"/>
      <c r="I131" s="656" t="s">
        <v>132</v>
      </c>
      <c r="J131" s="652"/>
      <c r="K131" s="656" t="s">
        <v>101</v>
      </c>
      <c r="L131" s="652"/>
      <c r="M131" s="656" t="s">
        <v>101</v>
      </c>
      <c r="N131" s="652"/>
      <c r="O131" s="656" t="s">
        <v>132</v>
      </c>
      <c r="P131" s="652"/>
      <c r="Q131" s="653" t="s">
        <v>101</v>
      </c>
      <c r="R131" s="652"/>
      <c r="S131" s="656" t="s">
        <v>101</v>
      </c>
      <c r="T131" s="652"/>
      <c r="U131" s="656" t="s">
        <v>132</v>
      </c>
      <c r="V131" s="652"/>
      <c r="W131" s="656" t="s">
        <v>101</v>
      </c>
      <c r="X131" s="652"/>
      <c r="Y131" s="656" t="s">
        <v>101</v>
      </c>
      <c r="Z131" s="652"/>
      <c r="AA131" s="682" t="s">
        <v>101</v>
      </c>
      <c r="AB131" s="683"/>
      <c r="AC131" s="151"/>
      <c r="AD131" s="1"/>
      <c r="AE131" s="1"/>
      <c r="AF131" s="1"/>
      <c r="AG131" s="1"/>
      <c r="AH131" s="1"/>
      <c r="AI131" s="1"/>
      <c r="AJ131" s="1"/>
      <c r="AK131" s="1"/>
      <c r="AL131" s="1"/>
      <c r="AM131" s="1"/>
      <c r="AN131" s="1"/>
      <c r="AO131" s="1"/>
      <c r="AP131" s="1"/>
      <c r="AQ131" s="1"/>
      <c r="AR131" s="1"/>
    </row>
    <row r="132" spans="1:44" ht="14.4" customHeight="1">
      <c r="A132" s="638"/>
      <c r="B132" s="639"/>
      <c r="C132" s="655" t="s">
        <v>120</v>
      </c>
      <c r="D132" s="649"/>
      <c r="E132" s="658" t="s">
        <v>133</v>
      </c>
      <c r="F132" s="649"/>
      <c r="G132" s="655" t="s">
        <v>101</v>
      </c>
      <c r="H132" s="649"/>
      <c r="I132" s="655" t="s">
        <v>133</v>
      </c>
      <c r="J132" s="649"/>
      <c r="K132" s="655" t="s">
        <v>101</v>
      </c>
      <c r="L132" s="649"/>
      <c r="M132" s="655" t="s">
        <v>101</v>
      </c>
      <c r="N132" s="649"/>
      <c r="O132" s="655" t="s">
        <v>133</v>
      </c>
      <c r="P132" s="649"/>
      <c r="Q132" s="658" t="s">
        <v>101</v>
      </c>
      <c r="R132" s="649"/>
      <c r="S132" s="655" t="s">
        <v>101</v>
      </c>
      <c r="T132" s="649"/>
      <c r="U132" s="655" t="s">
        <v>133</v>
      </c>
      <c r="V132" s="649"/>
      <c r="W132" s="655" t="s">
        <v>101</v>
      </c>
      <c r="X132" s="649"/>
      <c r="Y132" s="655" t="s">
        <v>101</v>
      </c>
      <c r="Z132" s="649"/>
      <c r="AA132" s="688" t="s">
        <v>101</v>
      </c>
      <c r="AB132" s="645"/>
      <c r="AC132" s="151"/>
      <c r="AD132" s="1"/>
      <c r="AE132" s="1"/>
      <c r="AF132" s="1"/>
      <c r="AG132" s="1"/>
      <c r="AH132" s="1"/>
      <c r="AI132" s="1"/>
      <c r="AJ132" s="1"/>
      <c r="AK132" s="1"/>
      <c r="AL132" s="1"/>
      <c r="AM132" s="1"/>
      <c r="AN132" s="1"/>
      <c r="AO132" s="1"/>
      <c r="AP132" s="1"/>
      <c r="AQ132" s="1"/>
      <c r="AR132" s="1"/>
    </row>
    <row r="133" spans="1:44" ht="14.4" customHeight="1">
      <c r="A133" s="638"/>
      <c r="B133" s="639"/>
      <c r="C133" s="655" t="s">
        <v>122</v>
      </c>
      <c r="D133" s="649"/>
      <c r="E133" s="658" t="s">
        <v>134</v>
      </c>
      <c r="F133" s="649"/>
      <c r="G133" s="655" t="s">
        <v>101</v>
      </c>
      <c r="H133" s="649"/>
      <c r="I133" s="655" t="s">
        <v>134</v>
      </c>
      <c r="J133" s="649"/>
      <c r="K133" s="655" t="s">
        <v>101</v>
      </c>
      <c r="L133" s="649"/>
      <c r="M133" s="655" t="s">
        <v>101</v>
      </c>
      <c r="N133" s="649"/>
      <c r="O133" s="655" t="s">
        <v>134</v>
      </c>
      <c r="P133" s="649"/>
      <c r="Q133" s="658" t="s">
        <v>101</v>
      </c>
      <c r="R133" s="649"/>
      <c r="S133" s="655" t="s">
        <v>101</v>
      </c>
      <c r="T133" s="649"/>
      <c r="U133" s="655" t="s">
        <v>134</v>
      </c>
      <c r="V133" s="649"/>
      <c r="W133" s="655" t="s">
        <v>101</v>
      </c>
      <c r="X133" s="649"/>
      <c r="Y133" s="655" t="s">
        <v>101</v>
      </c>
      <c r="Z133" s="649"/>
      <c r="AA133" s="688" t="s">
        <v>101</v>
      </c>
      <c r="AB133" s="645"/>
      <c r="AC133" s="151"/>
      <c r="AD133" s="1"/>
      <c r="AE133" s="1"/>
      <c r="AF133" s="1"/>
      <c r="AG133" s="1"/>
      <c r="AH133" s="1"/>
      <c r="AI133" s="1"/>
      <c r="AJ133" s="1"/>
      <c r="AK133" s="1"/>
      <c r="AL133" s="1"/>
      <c r="AM133" s="1"/>
      <c r="AN133" s="1"/>
      <c r="AO133" s="1"/>
      <c r="AP133" s="1"/>
      <c r="AQ133" s="1"/>
      <c r="AR133" s="1"/>
    </row>
    <row r="134" spans="1:44" ht="14.4" customHeight="1">
      <c r="A134" s="638"/>
      <c r="B134" s="639"/>
      <c r="C134" s="655" t="s">
        <v>124</v>
      </c>
      <c r="D134" s="649"/>
      <c r="E134" s="658" t="s">
        <v>135</v>
      </c>
      <c r="F134" s="649"/>
      <c r="G134" s="655" t="s">
        <v>101</v>
      </c>
      <c r="H134" s="649"/>
      <c r="I134" s="655" t="s">
        <v>135</v>
      </c>
      <c r="J134" s="649"/>
      <c r="K134" s="655" t="s">
        <v>101</v>
      </c>
      <c r="L134" s="649"/>
      <c r="M134" s="655" t="s">
        <v>101</v>
      </c>
      <c r="N134" s="649"/>
      <c r="O134" s="655" t="s">
        <v>135</v>
      </c>
      <c r="P134" s="649"/>
      <c r="Q134" s="658" t="s">
        <v>101</v>
      </c>
      <c r="R134" s="649"/>
      <c r="S134" s="655" t="s">
        <v>101</v>
      </c>
      <c r="T134" s="649"/>
      <c r="U134" s="655" t="s">
        <v>135</v>
      </c>
      <c r="V134" s="649"/>
      <c r="W134" s="655" t="s">
        <v>101</v>
      </c>
      <c r="X134" s="649"/>
      <c r="Y134" s="655" t="s">
        <v>101</v>
      </c>
      <c r="Z134" s="649"/>
      <c r="AA134" s="688" t="s">
        <v>101</v>
      </c>
      <c r="AB134" s="645"/>
      <c r="AC134" s="151"/>
      <c r="AD134" s="1"/>
      <c r="AE134" s="1"/>
      <c r="AF134" s="1"/>
      <c r="AG134" s="1"/>
      <c r="AH134" s="1"/>
      <c r="AI134" s="1"/>
      <c r="AJ134" s="1"/>
      <c r="AK134" s="1"/>
      <c r="AL134" s="1"/>
      <c r="AM134" s="1"/>
      <c r="AN134" s="1"/>
      <c r="AO134" s="1"/>
      <c r="AP134" s="1"/>
      <c r="AQ134" s="1"/>
      <c r="AR134" s="1"/>
    </row>
    <row r="135" spans="1:44" ht="14.4" customHeight="1">
      <c r="A135" s="638"/>
      <c r="B135" s="639"/>
      <c r="C135" s="655"/>
      <c r="D135" s="649"/>
      <c r="E135" s="658"/>
      <c r="F135" s="649"/>
      <c r="G135" s="672"/>
      <c r="H135" s="673"/>
      <c r="I135" s="672"/>
      <c r="J135" s="673"/>
      <c r="K135" s="672"/>
      <c r="L135" s="673"/>
      <c r="M135" s="672"/>
      <c r="N135" s="673"/>
      <c r="O135" s="672"/>
      <c r="P135" s="673"/>
      <c r="Q135" s="658"/>
      <c r="R135" s="649"/>
      <c r="S135" s="672"/>
      <c r="T135" s="673"/>
      <c r="U135" s="672"/>
      <c r="V135" s="673"/>
      <c r="W135" s="672"/>
      <c r="X135" s="673"/>
      <c r="Y135" s="672"/>
      <c r="Z135" s="673"/>
      <c r="AA135" s="701"/>
      <c r="AB135" s="630"/>
      <c r="AC135" s="151"/>
      <c r="AD135" s="1"/>
      <c r="AE135" s="1"/>
      <c r="AF135" s="1"/>
      <c r="AG135" s="1"/>
      <c r="AH135" s="1"/>
      <c r="AI135" s="1"/>
      <c r="AJ135" s="1"/>
      <c r="AK135" s="1"/>
      <c r="AL135" s="1"/>
      <c r="AM135" s="1"/>
      <c r="AN135" s="1"/>
      <c r="AO135" s="1"/>
      <c r="AP135" s="1"/>
      <c r="AQ135" s="1"/>
      <c r="AR135" s="1"/>
    </row>
    <row r="136" spans="1:44" ht="14.4" customHeight="1">
      <c r="A136" s="638"/>
      <c r="B136" s="639"/>
      <c r="C136" s="667"/>
      <c r="D136" s="662"/>
      <c r="E136" s="694"/>
      <c r="F136" s="662"/>
      <c r="G136" s="667"/>
      <c r="H136" s="662"/>
      <c r="I136" s="667"/>
      <c r="J136" s="662"/>
      <c r="K136" s="667"/>
      <c r="L136" s="662"/>
      <c r="M136" s="667"/>
      <c r="N136" s="662"/>
      <c r="O136" s="667"/>
      <c r="P136" s="662"/>
      <c r="Q136" s="694"/>
      <c r="R136" s="662"/>
      <c r="S136" s="667"/>
      <c r="T136" s="662"/>
      <c r="U136" s="667"/>
      <c r="V136" s="662"/>
      <c r="W136" s="667"/>
      <c r="X136" s="662"/>
      <c r="Y136" s="667"/>
      <c r="Z136" s="662"/>
      <c r="AA136" s="702"/>
      <c r="AB136" s="703"/>
      <c r="AC136" s="151"/>
      <c r="AD136" s="1"/>
      <c r="AE136" s="1"/>
      <c r="AF136" s="1"/>
      <c r="AG136" s="1"/>
      <c r="AH136" s="1"/>
      <c r="AI136" s="1"/>
      <c r="AJ136" s="1"/>
      <c r="AK136" s="1"/>
      <c r="AL136" s="1"/>
      <c r="AM136" s="1"/>
      <c r="AN136" s="1"/>
      <c r="AO136" s="1"/>
      <c r="AP136" s="1"/>
      <c r="AQ136" s="1"/>
      <c r="AR136" s="1"/>
    </row>
    <row r="137" spans="1:44" ht="25.95" customHeight="1">
      <c r="A137" s="185"/>
      <c r="B137" s="185"/>
      <c r="C137" s="153"/>
      <c r="D137" s="153"/>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c r="AB137" s="154"/>
      <c r="AC137" s="1"/>
      <c r="AD137" s="1"/>
      <c r="AE137" s="1"/>
      <c r="AF137" s="1"/>
      <c r="AG137" s="1"/>
      <c r="AH137" s="1"/>
      <c r="AI137" s="1"/>
      <c r="AJ137" s="1"/>
      <c r="AK137" s="1"/>
      <c r="AL137" s="1"/>
      <c r="AM137" s="1"/>
      <c r="AN137" s="1"/>
      <c r="AO137" s="1"/>
      <c r="AP137" s="1"/>
      <c r="AQ137" s="1"/>
      <c r="AR137" s="1"/>
    </row>
    <row r="138" spans="1:44" ht="25.95" customHeight="1">
      <c r="A138" s="155"/>
      <c r="B138" s="155"/>
      <c r="C138" s="157"/>
      <c r="D138" s="157"/>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6"/>
      <c r="AD138" s="156"/>
      <c r="AE138" s="156"/>
      <c r="AF138" s="156"/>
      <c r="AG138" s="156"/>
      <c r="AH138" s="156"/>
      <c r="AI138" s="156"/>
      <c r="AJ138" s="156"/>
      <c r="AK138" s="156"/>
      <c r="AL138" s="156"/>
      <c r="AM138" s="156"/>
      <c r="AN138" s="156"/>
      <c r="AO138" s="156"/>
      <c r="AP138" s="156"/>
      <c r="AQ138" s="156"/>
      <c r="AR138" s="1"/>
    </row>
    <row r="139" spans="1:44" ht="25.95" customHeight="1">
      <c r="A139" s="185"/>
      <c r="B139" s="185"/>
      <c r="C139" s="148"/>
      <c r="D139" s="148"/>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c r="AA139" s="186"/>
      <c r="AB139" s="186"/>
      <c r="AC139" s="1"/>
      <c r="AD139" s="1"/>
      <c r="AE139" s="1"/>
      <c r="AF139" s="1"/>
      <c r="AG139" s="1"/>
      <c r="AH139" s="1"/>
      <c r="AI139" s="1"/>
      <c r="AJ139" s="1"/>
      <c r="AK139" s="1"/>
      <c r="AL139" s="1"/>
      <c r="AM139" s="1"/>
      <c r="AN139" s="1"/>
      <c r="AO139" s="1"/>
      <c r="AP139" s="1"/>
      <c r="AQ139" s="1"/>
      <c r="AR139" s="1"/>
    </row>
    <row r="140" spans="1:44" ht="25.95" customHeight="1">
      <c r="A140" s="622" t="s">
        <v>136</v>
      </c>
      <c r="B140" s="620"/>
      <c r="C140" s="620"/>
      <c r="D140" s="620"/>
      <c r="E140" s="620"/>
      <c r="F140" s="620"/>
      <c r="G140" s="620"/>
      <c r="H140" s="620"/>
      <c r="I140" s="620"/>
      <c r="J140" s="620"/>
      <c r="K140" s="620"/>
      <c r="L140" s="620"/>
      <c r="M140" s="620"/>
      <c r="N140" s="620"/>
      <c r="O140" s="620"/>
      <c r="P140" s="620"/>
      <c r="Q140" s="620"/>
      <c r="R140" s="620"/>
      <c r="S140" s="620"/>
      <c r="T140" s="620"/>
      <c r="U140" s="620"/>
      <c r="V140" s="620"/>
      <c r="W140" s="620"/>
      <c r="X140" s="620"/>
      <c r="Y140" s="620"/>
      <c r="Z140" s="620"/>
      <c r="AA140" s="620"/>
      <c r="AB140" s="621"/>
      <c r="AC140" s="1"/>
      <c r="AD140" s="1"/>
      <c r="AE140" s="1"/>
      <c r="AF140" s="1"/>
      <c r="AG140" s="1"/>
      <c r="AH140" s="1"/>
      <c r="AI140" s="1"/>
      <c r="AJ140" s="1"/>
      <c r="AK140" s="1"/>
      <c r="AL140" s="1"/>
      <c r="AM140" s="1"/>
      <c r="AN140" s="1"/>
      <c r="AO140" s="1"/>
      <c r="AP140" s="1"/>
      <c r="AQ140" s="1"/>
      <c r="AR140" s="1"/>
    </row>
    <row r="141" spans="1:44" ht="14.4" customHeight="1">
      <c r="A141" s="707" t="s">
        <v>77</v>
      </c>
      <c r="B141" s="674" t="s">
        <v>55</v>
      </c>
      <c r="C141" s="714" t="s">
        <v>78</v>
      </c>
      <c r="D141" s="673"/>
      <c r="E141" s="719" t="s">
        <v>79</v>
      </c>
      <c r="F141" s="673"/>
      <c r="G141" s="651" t="s">
        <v>80</v>
      </c>
      <c r="H141" s="652"/>
      <c r="I141" s="651" t="s">
        <v>81</v>
      </c>
      <c r="J141" s="652"/>
      <c r="K141" s="651" t="s">
        <v>82</v>
      </c>
      <c r="L141" s="652"/>
      <c r="M141" s="651" t="s">
        <v>83</v>
      </c>
      <c r="N141" s="652"/>
      <c r="O141" s="651" t="s">
        <v>84</v>
      </c>
      <c r="P141" s="652"/>
      <c r="Q141" s="651" t="s">
        <v>85</v>
      </c>
      <c r="R141" s="652"/>
      <c r="S141" s="651" t="s">
        <v>86</v>
      </c>
      <c r="T141" s="652"/>
      <c r="U141" s="651" t="s">
        <v>87</v>
      </c>
      <c r="V141" s="652"/>
      <c r="W141" s="651" t="s">
        <v>88</v>
      </c>
      <c r="X141" s="652"/>
      <c r="Y141" s="651" t="s">
        <v>89</v>
      </c>
      <c r="Z141" s="652"/>
      <c r="AA141" s="651" t="s">
        <v>90</v>
      </c>
      <c r="AB141" s="652"/>
      <c r="AC141" s="1"/>
      <c r="AD141" s="1"/>
      <c r="AE141" s="1"/>
      <c r="AF141" s="1"/>
      <c r="AG141" s="1"/>
      <c r="AH141" s="1"/>
      <c r="AI141" s="1"/>
      <c r="AJ141" s="1"/>
      <c r="AK141" s="1"/>
      <c r="AL141" s="1"/>
      <c r="AM141" s="1"/>
      <c r="AN141" s="1"/>
      <c r="AO141" s="1"/>
      <c r="AP141" s="1"/>
      <c r="AQ141" s="1"/>
      <c r="AR141" s="1"/>
    </row>
    <row r="142" spans="1:44" ht="14.4" customHeight="1">
      <c r="A142" s="638"/>
      <c r="B142" s="671"/>
      <c r="C142" s="685" t="s">
        <v>34</v>
      </c>
      <c r="D142" s="716" t="s">
        <v>91</v>
      </c>
      <c r="E142" s="657">
        <f>F157/$D$157</f>
        <v>6.2919017538598035E-2</v>
      </c>
      <c r="F142" s="649"/>
      <c r="G142" s="657">
        <f>H157/$D$157</f>
        <v>6.6642923641180407E-2</v>
      </c>
      <c r="H142" s="649"/>
      <c r="I142" s="657">
        <f>J157/$D$157</f>
        <v>7.0366829743762765E-2</v>
      </c>
      <c r="J142" s="649"/>
      <c r="K142" s="657">
        <f>L157/$D$157</f>
        <v>7.4090735846345138E-2</v>
      </c>
      <c r="L142" s="649"/>
      <c r="M142" s="657">
        <f>N157/$D$157</f>
        <v>7.7814641948927496E-2</v>
      </c>
      <c r="N142" s="649"/>
      <c r="O142" s="657">
        <f>P157/$D$157</f>
        <v>8.1538548051509868E-2</v>
      </c>
      <c r="P142" s="649"/>
      <c r="Q142" s="657">
        <f>R157/$D$157</f>
        <v>8.526245415409224E-2</v>
      </c>
      <c r="R142" s="649"/>
      <c r="S142" s="657">
        <f>T157/$D$157</f>
        <v>8.8986360256674599E-2</v>
      </c>
      <c r="T142" s="649"/>
      <c r="U142" s="657">
        <f>V157/$D$157</f>
        <v>9.2710266359256971E-2</v>
      </c>
      <c r="V142" s="649"/>
      <c r="W142" s="657">
        <f>X157/$D$157</f>
        <v>9.6434172461839329E-2</v>
      </c>
      <c r="X142" s="649"/>
      <c r="Y142" s="657">
        <f>Z157/$D$157</f>
        <v>0.1001580785644217</v>
      </c>
      <c r="Z142" s="649"/>
      <c r="AA142" s="657">
        <f>AB157/$D$157</f>
        <v>0.10307597143339144</v>
      </c>
      <c r="AB142" s="649"/>
      <c r="AC142" s="1"/>
      <c r="AD142" s="1"/>
      <c r="AE142" s="1"/>
      <c r="AF142" s="1"/>
      <c r="AG142" s="1"/>
      <c r="AH142" s="1"/>
      <c r="AI142" s="1"/>
      <c r="AJ142" s="1"/>
      <c r="AK142" s="1"/>
      <c r="AL142" s="1"/>
      <c r="AM142" s="1"/>
      <c r="AN142" s="1"/>
      <c r="AO142" s="1"/>
      <c r="AP142" s="1"/>
      <c r="AQ142" s="1"/>
      <c r="AR142" s="1"/>
    </row>
    <row r="143" spans="1:44" ht="14.4" customHeight="1">
      <c r="A143" s="640"/>
      <c r="B143" s="675"/>
      <c r="C143" s="686"/>
      <c r="D143" s="717"/>
      <c r="E143" s="159" t="s">
        <v>34</v>
      </c>
      <c r="F143" s="160" t="s">
        <v>91</v>
      </c>
      <c r="G143" s="159" t="s">
        <v>34</v>
      </c>
      <c r="H143" s="160" t="s">
        <v>91</v>
      </c>
      <c r="I143" s="159" t="s">
        <v>34</v>
      </c>
      <c r="J143" s="160" t="s">
        <v>91</v>
      </c>
      <c r="K143" s="159" t="s">
        <v>34</v>
      </c>
      <c r="L143" s="160" t="s">
        <v>91</v>
      </c>
      <c r="M143" s="159" t="s">
        <v>34</v>
      </c>
      <c r="N143" s="160" t="s">
        <v>91</v>
      </c>
      <c r="O143" s="159" t="s">
        <v>34</v>
      </c>
      <c r="P143" s="160" t="s">
        <v>91</v>
      </c>
      <c r="Q143" s="159" t="s">
        <v>34</v>
      </c>
      <c r="R143" s="160" t="s">
        <v>91</v>
      </c>
      <c r="S143" s="65" t="s">
        <v>34</v>
      </c>
      <c r="T143" s="66" t="s">
        <v>91</v>
      </c>
      <c r="U143" s="65" t="s">
        <v>34</v>
      </c>
      <c r="V143" s="66" t="s">
        <v>91</v>
      </c>
      <c r="W143" s="65" t="s">
        <v>34</v>
      </c>
      <c r="X143" s="66" t="s">
        <v>91</v>
      </c>
      <c r="Y143" s="65" t="s">
        <v>34</v>
      </c>
      <c r="Z143" s="66" t="s">
        <v>91</v>
      </c>
      <c r="AA143" s="65" t="s">
        <v>34</v>
      </c>
      <c r="AB143" s="66" t="s">
        <v>91</v>
      </c>
      <c r="AC143" s="1"/>
      <c r="AD143" s="1"/>
      <c r="AE143" s="1"/>
      <c r="AF143" s="1"/>
      <c r="AG143" s="1"/>
      <c r="AH143" s="1"/>
      <c r="AI143" s="1"/>
      <c r="AJ143" s="1"/>
      <c r="AK143" s="1"/>
      <c r="AL143" s="1"/>
      <c r="AM143" s="1"/>
      <c r="AN143" s="1"/>
      <c r="AO143" s="1"/>
      <c r="AP143" s="1"/>
      <c r="AQ143" s="1"/>
      <c r="AR143" s="1"/>
    </row>
    <row r="144" spans="1:44" ht="15.6" customHeight="1">
      <c r="A144" s="67" t="str">
        <f>Hipótesis!$B$58</f>
        <v>Alta e instalación Plan Básico</v>
      </c>
      <c r="B144" s="161">
        <f>Hipótesis!C58</f>
        <v>25</v>
      </c>
      <c r="C144" s="69">
        <f t="shared" ref="C144:C149" si="4">E144+G144+I144+K144+M144+O144+Q144+S144+U144+W144+Y144+AA144</f>
        <v>71</v>
      </c>
      <c r="D144" s="162">
        <f t="shared" ref="D144:D149" si="5">B144*C144</f>
        <v>1775</v>
      </c>
      <c r="E144" s="71">
        <v>6</v>
      </c>
      <c r="F144" s="72">
        <f>E144*$B$144</f>
        <v>150</v>
      </c>
      <c r="G144" s="71">
        <v>6</v>
      </c>
      <c r="H144" s="72">
        <f>G144*$B$144</f>
        <v>150</v>
      </c>
      <c r="I144" s="71">
        <v>6</v>
      </c>
      <c r="J144" s="72">
        <f>I144*$B$144</f>
        <v>150</v>
      </c>
      <c r="K144" s="71">
        <v>6</v>
      </c>
      <c r="L144" s="72">
        <f>K144*$B$144</f>
        <v>150</v>
      </c>
      <c r="M144" s="71">
        <v>6</v>
      </c>
      <c r="N144" s="72">
        <f>M144*$B$144</f>
        <v>150</v>
      </c>
      <c r="O144" s="71">
        <v>6</v>
      </c>
      <c r="P144" s="72">
        <f>O144*$B$144</f>
        <v>150</v>
      </c>
      <c r="Q144" s="71">
        <v>6</v>
      </c>
      <c r="R144" s="72">
        <f>Q144*$B$144</f>
        <v>150</v>
      </c>
      <c r="S144" s="71">
        <v>6</v>
      </c>
      <c r="T144" s="72">
        <f>S144*$B$144</f>
        <v>150</v>
      </c>
      <c r="U144" s="71">
        <v>6</v>
      </c>
      <c r="V144" s="72">
        <f>U144*$B$144</f>
        <v>150</v>
      </c>
      <c r="W144" s="71">
        <v>6</v>
      </c>
      <c r="X144" s="72">
        <f>W144*$B$144</f>
        <v>150</v>
      </c>
      <c r="Y144" s="71">
        <v>6</v>
      </c>
      <c r="Z144" s="72">
        <f>Y144*$B$144</f>
        <v>150</v>
      </c>
      <c r="AA144" s="71">
        <v>5</v>
      </c>
      <c r="AB144" s="72">
        <f>AA144*$B$144</f>
        <v>125</v>
      </c>
      <c r="AC144" s="1"/>
      <c r="AD144" s="1"/>
      <c r="AE144" s="1"/>
      <c r="AF144" s="1"/>
      <c r="AG144" s="1"/>
      <c r="AH144" s="1"/>
      <c r="AI144" s="1"/>
      <c r="AJ144" s="1"/>
      <c r="AK144" s="1"/>
      <c r="AL144" s="1"/>
      <c r="AM144" s="1"/>
      <c r="AN144" s="1"/>
      <c r="AO144" s="1"/>
      <c r="AP144" s="1"/>
      <c r="AQ144" s="1"/>
      <c r="AR144" s="1"/>
    </row>
    <row r="145" spans="1:44" ht="15.6" customHeight="1">
      <c r="A145" s="67" t="str">
        <f>Hipótesis!$B$59</f>
        <v>Alta e instalación Plan Vidriera</v>
      </c>
      <c r="B145" s="163">
        <f>Hipótesis!C59</f>
        <v>60</v>
      </c>
      <c r="C145" s="74">
        <f t="shared" si="4"/>
        <v>143</v>
      </c>
      <c r="D145" s="76">
        <f t="shared" si="5"/>
        <v>8580</v>
      </c>
      <c r="E145" s="74">
        <v>12</v>
      </c>
      <c r="F145" s="76">
        <f>E145*$B$145</f>
        <v>720</v>
      </c>
      <c r="G145" s="74">
        <v>12</v>
      </c>
      <c r="H145" s="76">
        <f>G145*$B$145</f>
        <v>720</v>
      </c>
      <c r="I145" s="74">
        <v>12</v>
      </c>
      <c r="J145" s="76">
        <f>I145*$B$145</f>
        <v>720</v>
      </c>
      <c r="K145" s="74">
        <v>12</v>
      </c>
      <c r="L145" s="76">
        <f>K145*$B$145</f>
        <v>720</v>
      </c>
      <c r="M145" s="74">
        <v>12</v>
      </c>
      <c r="N145" s="76">
        <f>M145*$B$145</f>
        <v>720</v>
      </c>
      <c r="O145" s="74">
        <v>12</v>
      </c>
      <c r="P145" s="76">
        <f>O145*$B$145</f>
        <v>720</v>
      </c>
      <c r="Q145" s="74">
        <v>12</v>
      </c>
      <c r="R145" s="76">
        <f>Q145*$B$145</f>
        <v>720</v>
      </c>
      <c r="S145" s="74">
        <v>12</v>
      </c>
      <c r="T145" s="76">
        <f>S145*$B$145</f>
        <v>720</v>
      </c>
      <c r="U145" s="74">
        <v>12</v>
      </c>
      <c r="V145" s="76">
        <f>U145*$B$145</f>
        <v>720</v>
      </c>
      <c r="W145" s="74">
        <v>12</v>
      </c>
      <c r="X145" s="76">
        <f>W145*$B$145</f>
        <v>720</v>
      </c>
      <c r="Y145" s="74">
        <v>12</v>
      </c>
      <c r="Z145" s="76">
        <f>Y145*$B$145</f>
        <v>720</v>
      </c>
      <c r="AA145" s="74">
        <v>11</v>
      </c>
      <c r="AB145" s="76">
        <f>AA145*$B$145</f>
        <v>660</v>
      </c>
      <c r="AC145" s="1"/>
      <c r="AD145" s="1"/>
      <c r="AE145" s="1"/>
      <c r="AF145" s="1"/>
      <c r="AG145" s="1"/>
      <c r="AH145" s="1"/>
      <c r="AI145" s="1"/>
      <c r="AJ145" s="1"/>
      <c r="AK145" s="1"/>
      <c r="AL145" s="1"/>
      <c r="AM145" s="1"/>
      <c r="AN145" s="1"/>
      <c r="AO145" s="1"/>
      <c r="AP145" s="1"/>
      <c r="AQ145" s="1"/>
      <c r="AR145" s="1"/>
    </row>
    <row r="146" spans="1:44" ht="15.6" customHeight="1">
      <c r="A146" s="67" t="str">
        <f>Hipótesis!$B$60</f>
        <v>Alta e instalación Plan Cadena</v>
      </c>
      <c r="B146" s="164">
        <f>Hipótesis!C60</f>
        <v>250</v>
      </c>
      <c r="C146" s="78">
        <f t="shared" si="4"/>
        <v>24</v>
      </c>
      <c r="D146" s="165">
        <f t="shared" si="5"/>
        <v>6000</v>
      </c>
      <c r="E146" s="79">
        <v>2</v>
      </c>
      <c r="F146" s="80">
        <f>E146*$B$146</f>
        <v>500</v>
      </c>
      <c r="G146" s="79">
        <v>2</v>
      </c>
      <c r="H146" s="80">
        <f>G146*$B$146</f>
        <v>500</v>
      </c>
      <c r="I146" s="79">
        <v>2</v>
      </c>
      <c r="J146" s="80">
        <f>I146*$B$146</f>
        <v>500</v>
      </c>
      <c r="K146" s="79">
        <v>2</v>
      </c>
      <c r="L146" s="80">
        <f>K146*$B$146</f>
        <v>500</v>
      </c>
      <c r="M146" s="79">
        <v>2</v>
      </c>
      <c r="N146" s="80">
        <f>M146*$B$146</f>
        <v>500</v>
      </c>
      <c r="O146" s="79">
        <v>2</v>
      </c>
      <c r="P146" s="80">
        <f>O146*$B$146</f>
        <v>500</v>
      </c>
      <c r="Q146" s="79">
        <v>2</v>
      </c>
      <c r="R146" s="80">
        <f>Q146*$B$146</f>
        <v>500</v>
      </c>
      <c r="S146" s="79">
        <v>2</v>
      </c>
      <c r="T146" s="80">
        <f>S146*$B$146</f>
        <v>500</v>
      </c>
      <c r="U146" s="79">
        <v>2</v>
      </c>
      <c r="V146" s="80">
        <f>U146*$B$146</f>
        <v>500</v>
      </c>
      <c r="W146" s="79">
        <v>2</v>
      </c>
      <c r="X146" s="80">
        <f>W146*$B$146</f>
        <v>500</v>
      </c>
      <c r="Y146" s="79">
        <v>2</v>
      </c>
      <c r="Z146" s="80">
        <f>Y146*$B$146</f>
        <v>500</v>
      </c>
      <c r="AA146" s="79">
        <v>2</v>
      </c>
      <c r="AB146" s="80">
        <f>AA146*$B$146</f>
        <v>500</v>
      </c>
      <c r="AC146" s="1"/>
      <c r="AD146" s="1"/>
      <c r="AE146" s="1"/>
      <c r="AF146" s="1"/>
      <c r="AG146" s="1"/>
      <c r="AH146" s="1"/>
      <c r="AI146" s="1"/>
      <c r="AJ146" s="1"/>
      <c r="AK146" s="1"/>
      <c r="AL146" s="1"/>
      <c r="AM146" s="1"/>
      <c r="AN146" s="1"/>
      <c r="AO146" s="1"/>
      <c r="AP146" s="1"/>
      <c r="AQ146" s="1"/>
      <c r="AR146" s="1"/>
    </row>
    <row r="147" spans="1:44" ht="15.6" customHeight="1">
      <c r="A147" s="81" t="str">
        <f>Hipótesis!$B$61</f>
        <v>Abono Plan Básico</v>
      </c>
      <c r="B147" s="82">
        <f>Hipótesis!C61</f>
        <v>15</v>
      </c>
      <c r="C147" s="83">
        <f t="shared" si="4"/>
        <v>1439</v>
      </c>
      <c r="D147" s="86">
        <f t="shared" si="5"/>
        <v>21585</v>
      </c>
      <c r="E147" s="85">
        <f>AA85+E144</f>
        <v>87</v>
      </c>
      <c r="F147" s="166">
        <f>E147*$B$147</f>
        <v>1305</v>
      </c>
      <c r="G147" s="85">
        <f>E147+G144</f>
        <v>93</v>
      </c>
      <c r="H147" s="86">
        <f>G147*$B$147</f>
        <v>1395</v>
      </c>
      <c r="I147" s="85">
        <f>G147+I144</f>
        <v>99</v>
      </c>
      <c r="J147" s="86">
        <f>I147*$B$147</f>
        <v>1485</v>
      </c>
      <c r="K147" s="85">
        <f>I147+K144</f>
        <v>105</v>
      </c>
      <c r="L147" s="86">
        <f>K147*$B$147</f>
        <v>1575</v>
      </c>
      <c r="M147" s="85">
        <f>K147+M144</f>
        <v>111</v>
      </c>
      <c r="N147" s="86">
        <f>M147*$B$147</f>
        <v>1665</v>
      </c>
      <c r="O147" s="85">
        <f>M147+O144</f>
        <v>117</v>
      </c>
      <c r="P147" s="86">
        <f>O147*$B$147</f>
        <v>1755</v>
      </c>
      <c r="Q147" s="85">
        <f>O147+Q144</f>
        <v>123</v>
      </c>
      <c r="R147" s="86">
        <f>Q147*$B$147</f>
        <v>1845</v>
      </c>
      <c r="S147" s="85">
        <f>Q147+S144</f>
        <v>129</v>
      </c>
      <c r="T147" s="86">
        <f>S147*$B$147</f>
        <v>1935</v>
      </c>
      <c r="U147" s="85">
        <f>S147+U144</f>
        <v>135</v>
      </c>
      <c r="V147" s="86">
        <f>U147*$B$147</f>
        <v>2025</v>
      </c>
      <c r="W147" s="85">
        <f>U147+W144</f>
        <v>141</v>
      </c>
      <c r="X147" s="86">
        <f>W147*$B$147</f>
        <v>2115</v>
      </c>
      <c r="Y147" s="85">
        <f>W147+Y144</f>
        <v>147</v>
      </c>
      <c r="Z147" s="86">
        <f>Y147*$B$147</f>
        <v>2205</v>
      </c>
      <c r="AA147" s="85">
        <f>Y147+AA144</f>
        <v>152</v>
      </c>
      <c r="AB147" s="86">
        <f>AA147*$B$147</f>
        <v>2280</v>
      </c>
      <c r="AC147" s="1"/>
      <c r="AD147" s="1"/>
      <c r="AE147" s="1"/>
      <c r="AF147" s="1"/>
      <c r="AG147" s="1"/>
      <c r="AH147" s="1"/>
      <c r="AI147" s="1"/>
      <c r="AJ147" s="1"/>
      <c r="AK147" s="1"/>
      <c r="AL147" s="1"/>
      <c r="AM147" s="1"/>
      <c r="AN147" s="1"/>
      <c r="AO147" s="1"/>
      <c r="AP147" s="1"/>
      <c r="AQ147" s="1"/>
      <c r="AR147" s="1"/>
    </row>
    <row r="148" spans="1:44" ht="15.6" customHeight="1">
      <c r="A148" s="81" t="str">
        <f>Hipótesis!$B$62</f>
        <v>Abono Plan Vidriera</v>
      </c>
      <c r="B148" s="87">
        <f>Hipótesis!C62</f>
        <v>29</v>
      </c>
      <c r="C148" s="88">
        <f t="shared" si="4"/>
        <v>2903</v>
      </c>
      <c r="D148" s="90">
        <f t="shared" si="5"/>
        <v>84187</v>
      </c>
      <c r="E148" s="88">
        <f>AA86+E145</f>
        <v>176</v>
      </c>
      <c r="F148" s="167">
        <f>E148*$B$148</f>
        <v>5104</v>
      </c>
      <c r="G148" s="88">
        <f>E148+G145</f>
        <v>188</v>
      </c>
      <c r="H148" s="90">
        <f>G148*$B$148</f>
        <v>5452</v>
      </c>
      <c r="I148" s="88">
        <f>G148+I145</f>
        <v>200</v>
      </c>
      <c r="J148" s="90">
        <f>I148*$B$148</f>
        <v>5800</v>
      </c>
      <c r="K148" s="88">
        <f>I148+K145</f>
        <v>212</v>
      </c>
      <c r="L148" s="90">
        <f>K148*$B$148</f>
        <v>6148</v>
      </c>
      <c r="M148" s="88">
        <f>K148+M145</f>
        <v>224</v>
      </c>
      <c r="N148" s="90">
        <f>M148*$B$148</f>
        <v>6496</v>
      </c>
      <c r="O148" s="88">
        <f>M148+O145</f>
        <v>236</v>
      </c>
      <c r="P148" s="90">
        <f>O148*$B$148</f>
        <v>6844</v>
      </c>
      <c r="Q148" s="88">
        <f>O148+Q145</f>
        <v>248</v>
      </c>
      <c r="R148" s="90">
        <f>Q148*$B$148</f>
        <v>7192</v>
      </c>
      <c r="S148" s="88">
        <f>Q148+S145</f>
        <v>260</v>
      </c>
      <c r="T148" s="90">
        <f>S148*$B$148</f>
        <v>7540</v>
      </c>
      <c r="U148" s="88">
        <f>S148+U145</f>
        <v>272</v>
      </c>
      <c r="V148" s="90">
        <f>U148*$B$148</f>
        <v>7888</v>
      </c>
      <c r="W148" s="88">
        <f>U148+W145</f>
        <v>284</v>
      </c>
      <c r="X148" s="90">
        <f>W148*$B$148</f>
        <v>8236</v>
      </c>
      <c r="Y148" s="88">
        <f>W148+Y145</f>
        <v>296</v>
      </c>
      <c r="Z148" s="90">
        <f>Y148*$B$148</f>
        <v>8584</v>
      </c>
      <c r="AA148" s="88">
        <f>Y148+AA145</f>
        <v>307</v>
      </c>
      <c r="AB148" s="90">
        <f>AA148*$B$148</f>
        <v>8903</v>
      </c>
      <c r="AC148" s="1"/>
      <c r="AD148" s="1"/>
      <c r="AE148" s="1"/>
      <c r="AF148" s="1"/>
      <c r="AG148" s="1"/>
      <c r="AH148" s="1"/>
      <c r="AI148" s="1"/>
      <c r="AJ148" s="1"/>
      <c r="AK148" s="1"/>
      <c r="AL148" s="1"/>
      <c r="AM148" s="1"/>
      <c r="AN148" s="1"/>
      <c r="AO148" s="1"/>
      <c r="AP148" s="1"/>
      <c r="AQ148" s="1"/>
      <c r="AR148" s="1"/>
    </row>
    <row r="149" spans="1:44" ht="15.6" customHeight="1">
      <c r="A149" s="81" t="str">
        <f>Hipótesis!$B$63</f>
        <v>Abono Plan Cadena</v>
      </c>
      <c r="B149" s="87">
        <f>Hipótesis!C63</f>
        <v>79</v>
      </c>
      <c r="C149" s="88">
        <f t="shared" si="4"/>
        <v>480</v>
      </c>
      <c r="D149" s="90">
        <f t="shared" si="5"/>
        <v>37920</v>
      </c>
      <c r="E149" s="88">
        <f>AA87+E146</f>
        <v>29</v>
      </c>
      <c r="F149" s="167">
        <f>E149*$B$149</f>
        <v>2291</v>
      </c>
      <c r="G149" s="88">
        <f>E149+G146</f>
        <v>31</v>
      </c>
      <c r="H149" s="90">
        <f>G149*$B$149</f>
        <v>2449</v>
      </c>
      <c r="I149" s="88">
        <f>G149+I146</f>
        <v>33</v>
      </c>
      <c r="J149" s="90">
        <f>I149*$B$149</f>
        <v>2607</v>
      </c>
      <c r="K149" s="88">
        <f>I149+K146</f>
        <v>35</v>
      </c>
      <c r="L149" s="90">
        <f>K149*$B$149</f>
        <v>2765</v>
      </c>
      <c r="M149" s="88">
        <f>K149+M146</f>
        <v>37</v>
      </c>
      <c r="N149" s="90">
        <f>M149*$B$149</f>
        <v>2923</v>
      </c>
      <c r="O149" s="88">
        <f>M149+O146</f>
        <v>39</v>
      </c>
      <c r="P149" s="90">
        <f>O149*$B$149</f>
        <v>3081</v>
      </c>
      <c r="Q149" s="88">
        <f>O149+Q146</f>
        <v>41</v>
      </c>
      <c r="R149" s="90">
        <f>Q149*$B$149</f>
        <v>3239</v>
      </c>
      <c r="S149" s="88">
        <f>Q149+S146</f>
        <v>43</v>
      </c>
      <c r="T149" s="90">
        <f>S149*$B$149</f>
        <v>3397</v>
      </c>
      <c r="U149" s="88">
        <f>S149+U146</f>
        <v>45</v>
      </c>
      <c r="V149" s="90">
        <f>U149*$B$149</f>
        <v>3555</v>
      </c>
      <c r="W149" s="88">
        <f>U149+W146</f>
        <v>47</v>
      </c>
      <c r="X149" s="90">
        <f>W149*$B$149</f>
        <v>3713</v>
      </c>
      <c r="Y149" s="88">
        <f>W149+Y146</f>
        <v>49</v>
      </c>
      <c r="Z149" s="90">
        <f>Y149*$B$149</f>
        <v>3871</v>
      </c>
      <c r="AA149" s="88">
        <f>Y149+AA146</f>
        <v>51</v>
      </c>
      <c r="AB149" s="90">
        <f>AA149*$B$149</f>
        <v>4029</v>
      </c>
      <c r="AC149" s="1"/>
      <c r="AD149" s="1"/>
      <c r="AE149" s="1"/>
      <c r="AF149" s="1"/>
      <c r="AG149" s="1"/>
      <c r="AH149" s="1"/>
      <c r="AI149" s="1"/>
      <c r="AJ149" s="1"/>
      <c r="AK149" s="1"/>
      <c r="AL149" s="1"/>
      <c r="AM149" s="1"/>
      <c r="AN149" s="1"/>
      <c r="AO149" s="1"/>
      <c r="AP149" s="1"/>
      <c r="AQ149" s="1"/>
      <c r="AR149" s="1"/>
    </row>
    <row r="150" spans="1:44" ht="15.6" customHeight="1">
      <c r="A150" s="91"/>
      <c r="B150" s="92"/>
      <c r="C150" s="93"/>
      <c r="D150" s="95"/>
      <c r="E150" s="93"/>
      <c r="F150" s="167"/>
      <c r="G150" s="93"/>
      <c r="H150" s="90"/>
      <c r="I150" s="93"/>
      <c r="J150" s="90"/>
      <c r="K150" s="93"/>
      <c r="L150" s="90"/>
      <c r="M150" s="93"/>
      <c r="N150" s="90"/>
      <c r="O150" s="93"/>
      <c r="P150" s="90"/>
      <c r="Q150" s="93"/>
      <c r="R150" s="90"/>
      <c r="S150" s="93"/>
      <c r="T150" s="90"/>
      <c r="U150" s="93"/>
      <c r="V150" s="90"/>
      <c r="W150" s="93"/>
      <c r="X150" s="90"/>
      <c r="Y150" s="93"/>
      <c r="Z150" s="90"/>
      <c r="AA150" s="93"/>
      <c r="AB150" s="90"/>
      <c r="AC150" s="1"/>
      <c r="AD150" s="1"/>
      <c r="AE150" s="1"/>
      <c r="AF150" s="1"/>
      <c r="AG150" s="1"/>
      <c r="AH150" s="1"/>
      <c r="AI150" s="1"/>
      <c r="AJ150" s="1"/>
      <c r="AK150" s="1"/>
      <c r="AL150" s="1"/>
      <c r="AM150" s="1"/>
      <c r="AN150" s="1"/>
      <c r="AO150" s="1"/>
      <c r="AP150" s="1"/>
      <c r="AQ150" s="1"/>
      <c r="AR150" s="1"/>
    </row>
    <row r="151" spans="1:44" ht="15.6" customHeight="1">
      <c r="A151" s="96"/>
      <c r="B151" s="97"/>
      <c r="C151" s="98"/>
      <c r="D151" s="99"/>
      <c r="E151" s="98"/>
      <c r="F151" s="99"/>
      <c r="G151" s="98"/>
      <c r="H151" s="99"/>
      <c r="I151" s="98"/>
      <c r="J151" s="99"/>
      <c r="K151" s="98"/>
      <c r="L151" s="99"/>
      <c r="M151" s="98"/>
      <c r="N151" s="99"/>
      <c r="O151" s="98"/>
      <c r="P151" s="99"/>
      <c r="Q151" s="98"/>
      <c r="R151" s="99"/>
      <c r="S151" s="98"/>
      <c r="T151" s="99"/>
      <c r="U151" s="98"/>
      <c r="V151" s="99"/>
      <c r="W151" s="98"/>
      <c r="X151" s="99"/>
      <c r="Y151" s="98"/>
      <c r="Z151" s="170"/>
      <c r="AA151" s="98"/>
      <c r="AB151" s="99"/>
      <c r="AC151" s="1"/>
      <c r="AD151" s="1"/>
      <c r="AE151" s="1"/>
      <c r="AF151" s="1"/>
      <c r="AG151" s="1"/>
      <c r="AH151" s="1"/>
      <c r="AI151" s="1"/>
      <c r="AJ151" s="1"/>
      <c r="AK151" s="1"/>
      <c r="AL151" s="1"/>
      <c r="AM151" s="1"/>
      <c r="AN151" s="1"/>
      <c r="AO151" s="1"/>
      <c r="AP151" s="1"/>
      <c r="AQ151" s="1"/>
      <c r="AR151" s="1"/>
    </row>
    <row r="152" spans="1:44" ht="15.6" customHeight="1">
      <c r="A152" s="102"/>
      <c r="B152" s="103"/>
      <c r="C152" s="104"/>
      <c r="D152" s="105"/>
      <c r="E152" s="104"/>
      <c r="F152" s="105"/>
      <c r="G152" s="104"/>
      <c r="H152" s="105"/>
      <c r="I152" s="104"/>
      <c r="J152" s="105"/>
      <c r="K152" s="104"/>
      <c r="L152" s="105"/>
      <c r="M152" s="104"/>
      <c r="N152" s="105"/>
      <c r="O152" s="104"/>
      <c r="P152" s="105"/>
      <c r="Q152" s="104"/>
      <c r="R152" s="105"/>
      <c r="S152" s="104"/>
      <c r="T152" s="105"/>
      <c r="U152" s="104"/>
      <c r="V152" s="105"/>
      <c r="W152" s="104"/>
      <c r="X152" s="105"/>
      <c r="Y152" s="104"/>
      <c r="Z152" s="172"/>
      <c r="AA152" s="104"/>
      <c r="AB152" s="105"/>
      <c r="AC152" s="1"/>
      <c r="AD152" s="1"/>
      <c r="AE152" s="1"/>
      <c r="AF152" s="1"/>
      <c r="AG152" s="1"/>
      <c r="AH152" s="1"/>
      <c r="AI152" s="1"/>
      <c r="AJ152" s="1"/>
      <c r="AK152" s="1"/>
      <c r="AL152" s="1"/>
      <c r="AM152" s="1"/>
      <c r="AN152" s="1"/>
      <c r="AO152" s="1"/>
      <c r="AP152" s="1"/>
      <c r="AQ152" s="1"/>
      <c r="AR152" s="1"/>
    </row>
    <row r="153" spans="1:44" ht="15.6" customHeight="1">
      <c r="A153" s="102"/>
      <c r="B153" s="103"/>
      <c r="C153" s="104"/>
      <c r="D153" s="105"/>
      <c r="E153" s="104"/>
      <c r="F153" s="105"/>
      <c r="G153" s="104"/>
      <c r="H153" s="105"/>
      <c r="I153" s="104"/>
      <c r="J153" s="105"/>
      <c r="K153" s="104"/>
      <c r="L153" s="105"/>
      <c r="M153" s="104"/>
      <c r="N153" s="105"/>
      <c r="O153" s="104"/>
      <c r="P153" s="105"/>
      <c r="Q153" s="104"/>
      <c r="R153" s="105"/>
      <c r="S153" s="104"/>
      <c r="T153" s="105"/>
      <c r="U153" s="104"/>
      <c r="V153" s="105"/>
      <c r="W153" s="104"/>
      <c r="X153" s="105"/>
      <c r="Y153" s="104"/>
      <c r="Z153" s="172"/>
      <c r="AA153" s="104"/>
      <c r="AB153" s="105"/>
      <c r="AC153" s="1"/>
      <c r="AD153" s="1"/>
      <c r="AE153" s="1"/>
      <c r="AF153" s="1"/>
      <c r="AG153" s="1"/>
      <c r="AH153" s="1"/>
      <c r="AI153" s="1"/>
      <c r="AJ153" s="1"/>
      <c r="AK153" s="1"/>
      <c r="AL153" s="1"/>
      <c r="AM153" s="1"/>
      <c r="AN153" s="1"/>
      <c r="AO153" s="1"/>
      <c r="AP153" s="1"/>
      <c r="AQ153" s="1"/>
      <c r="AR153" s="1"/>
    </row>
    <row r="154" spans="1:44" ht="15.6" customHeight="1">
      <c r="A154" s="102"/>
      <c r="B154" s="103"/>
      <c r="C154" s="104"/>
      <c r="D154" s="105"/>
      <c r="E154" s="104"/>
      <c r="F154" s="105"/>
      <c r="G154" s="104"/>
      <c r="H154" s="105"/>
      <c r="I154" s="104"/>
      <c r="J154" s="105"/>
      <c r="K154" s="104"/>
      <c r="L154" s="105"/>
      <c r="M154" s="104"/>
      <c r="N154" s="105"/>
      <c r="O154" s="104"/>
      <c r="P154" s="105"/>
      <c r="Q154" s="104"/>
      <c r="R154" s="105"/>
      <c r="S154" s="104"/>
      <c r="T154" s="105"/>
      <c r="U154" s="104"/>
      <c r="V154" s="105"/>
      <c r="W154" s="104"/>
      <c r="X154" s="105"/>
      <c r="Y154" s="104"/>
      <c r="Z154" s="172"/>
      <c r="AA154" s="104"/>
      <c r="AB154" s="105"/>
      <c r="AC154" s="1"/>
      <c r="AD154" s="1"/>
      <c r="AE154" s="1"/>
      <c r="AF154" s="1"/>
      <c r="AG154" s="1"/>
      <c r="AH154" s="1"/>
      <c r="AI154" s="1"/>
      <c r="AJ154" s="1"/>
      <c r="AK154" s="1"/>
      <c r="AL154" s="1"/>
      <c r="AM154" s="1"/>
      <c r="AN154" s="1"/>
      <c r="AO154" s="1"/>
      <c r="AP154" s="1"/>
      <c r="AQ154" s="1"/>
      <c r="AR154" s="1"/>
    </row>
    <row r="155" spans="1:44" ht="15.6" customHeight="1">
      <c r="A155" s="106"/>
      <c r="B155" s="107"/>
      <c r="C155" s="108"/>
      <c r="D155" s="109"/>
      <c r="E155" s="108"/>
      <c r="F155" s="109"/>
      <c r="G155" s="108"/>
      <c r="H155" s="109"/>
      <c r="I155" s="108"/>
      <c r="J155" s="109"/>
      <c r="K155" s="108"/>
      <c r="L155" s="109"/>
      <c r="M155" s="108"/>
      <c r="N155" s="109"/>
      <c r="O155" s="108"/>
      <c r="P155" s="109"/>
      <c r="Q155" s="108"/>
      <c r="R155" s="109"/>
      <c r="S155" s="108"/>
      <c r="T155" s="109"/>
      <c r="U155" s="108"/>
      <c r="V155" s="109"/>
      <c r="W155" s="108"/>
      <c r="X155" s="109"/>
      <c r="Y155" s="108"/>
      <c r="Z155" s="174"/>
      <c r="AA155" s="108"/>
      <c r="AB155" s="109"/>
      <c r="AC155" s="1"/>
      <c r="AD155" s="1"/>
      <c r="AE155" s="1"/>
      <c r="AF155" s="1"/>
      <c r="AG155" s="1"/>
      <c r="AH155" s="1"/>
      <c r="AI155" s="1"/>
      <c r="AJ155" s="1"/>
      <c r="AK155" s="1"/>
      <c r="AL155" s="1"/>
      <c r="AM155" s="1"/>
      <c r="AN155" s="1"/>
      <c r="AO155" s="1"/>
      <c r="AP155" s="1"/>
      <c r="AQ155" s="1"/>
      <c r="AR155" s="1"/>
    </row>
    <row r="156" spans="1:44" ht="15.6" customHeight="1">
      <c r="A156" s="187"/>
      <c r="B156" s="188"/>
      <c r="C156" s="189"/>
      <c r="D156" s="190"/>
      <c r="E156" s="189"/>
      <c r="F156" s="190"/>
      <c r="G156" s="189"/>
      <c r="H156" s="190"/>
      <c r="I156" s="189"/>
      <c r="J156" s="190"/>
      <c r="K156" s="189"/>
      <c r="L156" s="190"/>
      <c r="M156" s="189"/>
      <c r="N156" s="190"/>
      <c r="O156" s="189"/>
      <c r="P156" s="190"/>
      <c r="Q156" s="189"/>
      <c r="R156" s="190"/>
      <c r="S156" s="189"/>
      <c r="T156" s="190"/>
      <c r="U156" s="189"/>
      <c r="V156" s="190"/>
      <c r="W156" s="189"/>
      <c r="X156" s="190"/>
      <c r="Y156" s="189"/>
      <c r="Z156" s="191"/>
      <c r="AA156" s="189"/>
      <c r="AB156" s="190"/>
      <c r="AC156" s="1"/>
      <c r="AD156" s="1"/>
      <c r="AE156" s="1"/>
      <c r="AF156" s="1"/>
      <c r="AG156" s="1"/>
      <c r="AH156" s="1"/>
      <c r="AI156" s="1"/>
      <c r="AJ156" s="1"/>
      <c r="AK156" s="1"/>
      <c r="AL156" s="1"/>
      <c r="AM156" s="1"/>
      <c r="AN156" s="1"/>
      <c r="AO156" s="1"/>
      <c r="AP156" s="1"/>
      <c r="AQ156" s="1"/>
      <c r="AR156" s="1"/>
    </row>
    <row r="157" spans="1:44" ht="14.4" customHeight="1">
      <c r="A157" s="647" t="s">
        <v>92</v>
      </c>
      <c r="B157" s="637"/>
      <c r="C157" s="156"/>
      <c r="D157" s="119">
        <f>SUM(D144:D156)</f>
        <v>160047</v>
      </c>
      <c r="E157" s="118"/>
      <c r="F157" s="119">
        <f>SUM(F144:F156)</f>
        <v>10070</v>
      </c>
      <c r="G157" s="118"/>
      <c r="H157" s="119">
        <f>SUM(H144:H156)</f>
        <v>10666</v>
      </c>
      <c r="I157" s="118"/>
      <c r="J157" s="119">
        <f>SUM(J144:J156)</f>
        <v>11262</v>
      </c>
      <c r="K157" s="118"/>
      <c r="L157" s="119">
        <f>SUM(L144:L156)</f>
        <v>11858</v>
      </c>
      <c r="M157" s="118"/>
      <c r="N157" s="119">
        <f>SUM(N144:N156)</f>
        <v>12454</v>
      </c>
      <c r="O157" s="118"/>
      <c r="P157" s="119">
        <f>SUM(P144:P156)</f>
        <v>13050</v>
      </c>
      <c r="Q157" s="118"/>
      <c r="R157" s="119">
        <f>SUM(R144:R156)</f>
        <v>13646</v>
      </c>
      <c r="S157" s="118"/>
      <c r="T157" s="119">
        <f>SUM(T144:T156)</f>
        <v>14242</v>
      </c>
      <c r="U157" s="118"/>
      <c r="V157" s="119">
        <f>SUM(V144:V156)</f>
        <v>14838</v>
      </c>
      <c r="W157" s="118"/>
      <c r="X157" s="119">
        <f>SUM(X144:X156)</f>
        <v>15434</v>
      </c>
      <c r="Y157" s="118"/>
      <c r="Z157" s="119">
        <f>SUM(Z144:Z156)</f>
        <v>16030</v>
      </c>
      <c r="AA157" s="118"/>
      <c r="AB157" s="119">
        <f>SUM(AB144:AB156)</f>
        <v>16497</v>
      </c>
      <c r="AC157" s="1"/>
      <c r="AD157" s="1"/>
      <c r="AE157" s="1"/>
      <c r="AF157" s="1"/>
      <c r="AG157" s="1"/>
      <c r="AH157" s="1"/>
      <c r="AI157" s="1"/>
      <c r="AJ157" s="1"/>
      <c r="AK157" s="1"/>
      <c r="AL157" s="1"/>
      <c r="AM157" s="1"/>
      <c r="AN157" s="1"/>
      <c r="AO157" s="1"/>
      <c r="AP157" s="1"/>
      <c r="AQ157" s="1"/>
      <c r="AR157" s="1"/>
    </row>
    <row r="158" spans="1:44" ht="15.6" customHeight="1">
      <c r="A158" s="659"/>
      <c r="B158" s="652"/>
      <c r="C158" s="121">
        <f>C144</f>
        <v>71</v>
      </c>
      <c r="D158" s="124"/>
      <c r="E158" s="123">
        <f>E144</f>
        <v>6</v>
      </c>
      <c r="F158" s="124"/>
      <c r="G158" s="123">
        <f>G144</f>
        <v>6</v>
      </c>
      <c r="H158" s="124"/>
      <c r="I158" s="123">
        <f>I144</f>
        <v>6</v>
      </c>
      <c r="J158" s="124"/>
      <c r="K158" s="123">
        <f>K144</f>
        <v>6</v>
      </c>
      <c r="L158" s="124"/>
      <c r="M158" s="123">
        <f>M144</f>
        <v>6</v>
      </c>
      <c r="N158" s="124"/>
      <c r="O158" s="123">
        <f>O144</f>
        <v>6</v>
      </c>
      <c r="P158" s="124"/>
      <c r="Q158" s="123">
        <f>Q144</f>
        <v>6</v>
      </c>
      <c r="R158" s="124"/>
      <c r="S158" s="123">
        <f>S144</f>
        <v>6</v>
      </c>
      <c r="T158" s="124"/>
      <c r="U158" s="123">
        <f>U144</f>
        <v>6</v>
      </c>
      <c r="V158" s="124"/>
      <c r="W158" s="123">
        <f>W144</f>
        <v>6</v>
      </c>
      <c r="X158" s="124"/>
      <c r="Y158" s="123">
        <f>Y144</f>
        <v>6</v>
      </c>
      <c r="Z158" s="124"/>
      <c r="AA158" s="123">
        <f>AA144</f>
        <v>5</v>
      </c>
      <c r="AB158" s="122"/>
      <c r="AC158" s="1"/>
      <c r="AD158" s="1"/>
      <c r="AE158" s="1"/>
      <c r="AF158" s="1"/>
      <c r="AG158" s="1"/>
      <c r="AH158" s="1"/>
      <c r="AI158" s="1"/>
      <c r="AJ158" s="1"/>
      <c r="AK158" s="1"/>
      <c r="AL158" s="1"/>
      <c r="AM158" s="1"/>
      <c r="AN158" s="1"/>
      <c r="AO158" s="1"/>
      <c r="AP158" s="1"/>
      <c r="AQ158" s="1"/>
      <c r="AR158" s="1"/>
    </row>
    <row r="159" spans="1:44" ht="15.6" customHeight="1">
      <c r="A159" s="664"/>
      <c r="B159" s="649"/>
      <c r="C159" s="125">
        <f>C145</f>
        <v>143</v>
      </c>
      <c r="D159" s="128"/>
      <c r="E159" s="127">
        <f>E145</f>
        <v>12</v>
      </c>
      <c r="F159" s="128"/>
      <c r="G159" s="127">
        <f>G145</f>
        <v>12</v>
      </c>
      <c r="H159" s="128"/>
      <c r="I159" s="127">
        <f>I145</f>
        <v>12</v>
      </c>
      <c r="J159" s="128"/>
      <c r="K159" s="127">
        <f>K145</f>
        <v>12</v>
      </c>
      <c r="L159" s="128"/>
      <c r="M159" s="127">
        <f>M145</f>
        <v>12</v>
      </c>
      <c r="N159" s="128"/>
      <c r="O159" s="127">
        <f>O145</f>
        <v>12</v>
      </c>
      <c r="P159" s="128"/>
      <c r="Q159" s="127">
        <f>Q145</f>
        <v>12</v>
      </c>
      <c r="R159" s="128"/>
      <c r="S159" s="127">
        <f>S145</f>
        <v>12</v>
      </c>
      <c r="T159" s="128"/>
      <c r="U159" s="127">
        <f>U145</f>
        <v>12</v>
      </c>
      <c r="V159" s="128"/>
      <c r="W159" s="127">
        <f>W145</f>
        <v>12</v>
      </c>
      <c r="X159" s="128"/>
      <c r="Y159" s="127">
        <f>Y145</f>
        <v>12</v>
      </c>
      <c r="Z159" s="128"/>
      <c r="AA159" s="127">
        <f>AA145</f>
        <v>11</v>
      </c>
      <c r="AB159" s="126"/>
      <c r="AC159" s="1"/>
      <c r="AD159" s="1"/>
      <c r="AE159" s="1"/>
      <c r="AF159" s="1"/>
      <c r="AG159" s="1"/>
      <c r="AH159" s="1"/>
      <c r="AI159" s="1"/>
      <c r="AJ159" s="1"/>
      <c r="AK159" s="1"/>
      <c r="AL159" s="1"/>
      <c r="AM159" s="1"/>
      <c r="AN159" s="1"/>
      <c r="AO159" s="1"/>
      <c r="AP159" s="1"/>
      <c r="AQ159" s="1"/>
      <c r="AR159" s="1"/>
    </row>
    <row r="160" spans="1:44" ht="15.6" customHeight="1">
      <c r="A160" s="661"/>
      <c r="B160" s="662"/>
      <c r="C160" s="129">
        <f>C146</f>
        <v>24</v>
      </c>
      <c r="D160" s="132"/>
      <c r="E160" s="131">
        <f>E146</f>
        <v>2</v>
      </c>
      <c r="F160" s="132"/>
      <c r="G160" s="131">
        <f>G146</f>
        <v>2</v>
      </c>
      <c r="H160" s="132"/>
      <c r="I160" s="131">
        <f>I146</f>
        <v>2</v>
      </c>
      <c r="J160" s="132"/>
      <c r="K160" s="131">
        <f>K146</f>
        <v>2</v>
      </c>
      <c r="L160" s="132"/>
      <c r="M160" s="131">
        <f>M146</f>
        <v>2</v>
      </c>
      <c r="N160" s="132"/>
      <c r="O160" s="131">
        <f>O146</f>
        <v>2</v>
      </c>
      <c r="P160" s="132"/>
      <c r="Q160" s="131">
        <f>Q146</f>
        <v>2</v>
      </c>
      <c r="R160" s="132"/>
      <c r="S160" s="131">
        <f>S146</f>
        <v>2</v>
      </c>
      <c r="T160" s="132"/>
      <c r="U160" s="131">
        <f>U146</f>
        <v>2</v>
      </c>
      <c r="V160" s="132"/>
      <c r="W160" s="131">
        <f>W146</f>
        <v>2</v>
      </c>
      <c r="X160" s="132"/>
      <c r="Y160" s="131">
        <f>Y146</f>
        <v>2</v>
      </c>
      <c r="Z160" s="132"/>
      <c r="AA160" s="131">
        <f>AA146</f>
        <v>2</v>
      </c>
      <c r="AB160" s="130"/>
      <c r="AC160" s="1"/>
      <c r="AD160" s="1"/>
      <c r="AE160" s="1"/>
      <c r="AF160" s="1"/>
      <c r="AG160" s="1"/>
      <c r="AH160" s="1"/>
      <c r="AI160" s="1"/>
      <c r="AJ160" s="1"/>
      <c r="AK160" s="1"/>
      <c r="AL160" s="1"/>
      <c r="AM160" s="1"/>
      <c r="AN160" s="1"/>
      <c r="AO160" s="1"/>
      <c r="AP160" s="1"/>
      <c r="AQ160" s="1"/>
      <c r="AR160" s="1"/>
    </row>
    <row r="161" spans="1:44" ht="15.6" customHeight="1">
      <c r="A161" s="665"/>
      <c r="B161" s="639"/>
      <c r="C161" s="181">
        <f>SUM(C147:C150)</f>
        <v>4822</v>
      </c>
      <c r="D161" s="134"/>
      <c r="E161" s="135">
        <f>SUM(E147:E150)</f>
        <v>292</v>
      </c>
      <c r="F161" s="136"/>
      <c r="G161" s="135">
        <f>SUM(G147:G150)</f>
        <v>312</v>
      </c>
      <c r="H161" s="136"/>
      <c r="I161" s="135">
        <f>SUM(I147:I150)</f>
        <v>332</v>
      </c>
      <c r="J161" s="136"/>
      <c r="K161" s="135">
        <f>SUM(K147:K150)</f>
        <v>352</v>
      </c>
      <c r="L161" s="136"/>
      <c r="M161" s="135">
        <f>SUM(M147:M150)</f>
        <v>372</v>
      </c>
      <c r="N161" s="136"/>
      <c r="O161" s="135">
        <f>SUM(O147:O150)</f>
        <v>392</v>
      </c>
      <c r="P161" s="136"/>
      <c r="Q161" s="135">
        <f>SUM(Q147:Q150)</f>
        <v>412</v>
      </c>
      <c r="R161" s="136"/>
      <c r="S161" s="135">
        <f>SUM(S147:S150)</f>
        <v>432</v>
      </c>
      <c r="T161" s="136"/>
      <c r="U161" s="135">
        <f>SUM(U147:U150)</f>
        <v>452</v>
      </c>
      <c r="V161" s="136"/>
      <c r="W161" s="135">
        <f>SUM(W147:W150)</f>
        <v>472</v>
      </c>
      <c r="X161" s="136"/>
      <c r="Y161" s="135">
        <f>SUM(Y147:Y150)</f>
        <v>492</v>
      </c>
      <c r="Z161" s="136"/>
      <c r="AA161" s="135">
        <f>SUM(AA147:AA150)</f>
        <v>510</v>
      </c>
      <c r="AB161" s="137"/>
      <c r="AC161" s="1"/>
      <c r="AD161" s="1"/>
      <c r="AE161" s="1"/>
      <c r="AF161" s="1"/>
      <c r="AG161" s="1"/>
      <c r="AH161" s="1"/>
      <c r="AI161" s="1"/>
      <c r="AJ161" s="1"/>
      <c r="AK161" s="1"/>
      <c r="AL161" s="1"/>
      <c r="AM161" s="1"/>
      <c r="AN161" s="1"/>
      <c r="AO161" s="1"/>
      <c r="AP161" s="1"/>
      <c r="AQ161" s="1"/>
      <c r="AR161" s="1"/>
    </row>
    <row r="162" spans="1:44" ht="15.6" customHeight="1">
      <c r="A162" s="721"/>
      <c r="B162" s="621"/>
      <c r="C162" s="182">
        <f>SUM(C151:C155)</f>
        <v>0</v>
      </c>
      <c r="D162" s="183"/>
      <c r="E162" s="140">
        <f>SUM(E151:E155)</f>
        <v>0</v>
      </c>
      <c r="F162" s="141"/>
      <c r="G162" s="140">
        <f>SUM(G151:G155)</f>
        <v>0</v>
      </c>
      <c r="H162" s="141"/>
      <c r="I162" s="140">
        <f>SUM(I151:I155)</f>
        <v>0</v>
      </c>
      <c r="J162" s="141"/>
      <c r="K162" s="140">
        <f>SUM(K151:K155)</f>
        <v>0</v>
      </c>
      <c r="L162" s="141"/>
      <c r="M162" s="140">
        <f>SUM(M151:M155)</f>
        <v>0</v>
      </c>
      <c r="N162" s="141"/>
      <c r="O162" s="140">
        <f>SUM(O151:O155)</f>
        <v>0</v>
      </c>
      <c r="P162" s="141"/>
      <c r="Q162" s="140">
        <f>SUM(Q151:Q155)</f>
        <v>0</v>
      </c>
      <c r="R162" s="141"/>
      <c r="S162" s="140">
        <f>SUM(S151:S155)</f>
        <v>0</v>
      </c>
      <c r="T162" s="141"/>
      <c r="U162" s="140">
        <f>SUM(U151:U155)</f>
        <v>0</v>
      </c>
      <c r="V162" s="141"/>
      <c r="W162" s="140">
        <f>SUM(W151:W155)</f>
        <v>0</v>
      </c>
      <c r="X162" s="141"/>
      <c r="Y162" s="140">
        <f>SUM(Y151:Y155)</f>
        <v>0</v>
      </c>
      <c r="Z162" s="141"/>
      <c r="AA162" s="140">
        <f>SUM(AA151:AA155)</f>
        <v>0</v>
      </c>
      <c r="AB162" s="142"/>
      <c r="AC162" s="1"/>
      <c r="AD162" s="1"/>
      <c r="AE162" s="1"/>
      <c r="AF162" s="1"/>
      <c r="AG162" s="1"/>
      <c r="AH162" s="1"/>
      <c r="AI162" s="1"/>
      <c r="AJ162" s="1"/>
      <c r="AK162" s="1"/>
      <c r="AL162" s="1"/>
      <c r="AM162" s="1"/>
      <c r="AN162" s="1"/>
      <c r="AO162" s="1"/>
      <c r="AP162" s="1"/>
      <c r="AQ162" s="1"/>
      <c r="AR162" s="1"/>
    </row>
    <row r="163" spans="1:44" ht="15.6" customHeight="1">
      <c r="A163" s="699"/>
      <c r="B163" s="642"/>
      <c r="C163" s="143">
        <f>C156</f>
        <v>0</v>
      </c>
      <c r="D163" s="184"/>
      <c r="E163" s="145">
        <f>E156</f>
        <v>0</v>
      </c>
      <c r="F163" s="146"/>
      <c r="G163" s="145">
        <f>G156</f>
        <v>0</v>
      </c>
      <c r="H163" s="146"/>
      <c r="I163" s="145">
        <f>I156</f>
        <v>0</v>
      </c>
      <c r="J163" s="146"/>
      <c r="K163" s="145">
        <f>K156</f>
        <v>0</v>
      </c>
      <c r="L163" s="146"/>
      <c r="M163" s="145">
        <f>M156</f>
        <v>0</v>
      </c>
      <c r="N163" s="146"/>
      <c r="O163" s="145">
        <f>O156</f>
        <v>0</v>
      </c>
      <c r="P163" s="146"/>
      <c r="Q163" s="145">
        <f>Q156</f>
        <v>0</v>
      </c>
      <c r="R163" s="146"/>
      <c r="S163" s="145">
        <f>S156</f>
        <v>0</v>
      </c>
      <c r="T163" s="146"/>
      <c r="U163" s="145">
        <f>U156</f>
        <v>0</v>
      </c>
      <c r="V163" s="146"/>
      <c r="W163" s="145">
        <f>W156</f>
        <v>0</v>
      </c>
      <c r="X163" s="146"/>
      <c r="Y163" s="145">
        <f>Y156</f>
        <v>0</v>
      </c>
      <c r="Z163" s="146"/>
      <c r="AA163" s="145">
        <f>AA156</f>
        <v>0</v>
      </c>
      <c r="AB163" s="147"/>
      <c r="AC163" s="1"/>
      <c r="AD163" s="1"/>
      <c r="AE163" s="1"/>
      <c r="AF163" s="1"/>
      <c r="AG163" s="1"/>
      <c r="AH163" s="1"/>
      <c r="AI163" s="1"/>
      <c r="AJ163" s="1"/>
      <c r="AK163" s="1"/>
      <c r="AL163" s="1"/>
      <c r="AM163" s="1"/>
      <c r="AN163" s="1"/>
      <c r="AO163" s="1"/>
      <c r="AP163" s="1"/>
      <c r="AQ163" s="1"/>
      <c r="AR163" s="1"/>
    </row>
    <row r="164" spans="1:44" ht="14.4" customHeight="1">
      <c r="A164" s="1"/>
      <c r="B164" s="1"/>
      <c r="C164" s="1"/>
      <c r="D164" s="120"/>
      <c r="E164" s="120"/>
      <c r="F164" s="120"/>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spans="1:44" ht="25.95" customHeight="1">
      <c r="A165" s="681" t="s">
        <v>137</v>
      </c>
      <c r="B165" s="620"/>
      <c r="C165" s="620"/>
      <c r="D165" s="620"/>
      <c r="E165" s="620"/>
      <c r="F165" s="620"/>
      <c r="G165" s="620"/>
      <c r="H165" s="620"/>
      <c r="I165" s="620"/>
      <c r="J165" s="620"/>
      <c r="K165" s="620"/>
      <c r="L165" s="620"/>
      <c r="M165" s="620"/>
      <c r="N165" s="620"/>
      <c r="O165" s="620"/>
      <c r="P165" s="620"/>
      <c r="Q165" s="620"/>
      <c r="R165" s="620"/>
      <c r="S165" s="620"/>
      <c r="T165" s="620"/>
      <c r="U165" s="620"/>
      <c r="V165" s="620"/>
      <c r="W165" s="620"/>
      <c r="X165" s="620"/>
      <c r="Y165" s="620"/>
      <c r="Z165" s="620"/>
      <c r="AA165" s="620"/>
      <c r="AB165" s="621"/>
      <c r="AC165" s="1"/>
      <c r="AD165" s="1"/>
      <c r="AE165" s="1"/>
      <c r="AF165" s="1"/>
      <c r="AG165" s="1"/>
      <c r="AH165" s="1"/>
      <c r="AI165" s="1"/>
      <c r="AJ165" s="1"/>
      <c r="AK165" s="1"/>
      <c r="AL165" s="1"/>
      <c r="AM165" s="1"/>
      <c r="AN165" s="1"/>
      <c r="AO165" s="1"/>
      <c r="AP165" s="1"/>
      <c r="AQ165" s="1"/>
      <c r="AR165" s="1"/>
    </row>
    <row r="166" spans="1:44" ht="66.599999999999994" customHeight="1">
      <c r="A166" s="150" t="s">
        <v>94</v>
      </c>
      <c r="B166" s="700" t="s">
        <v>138</v>
      </c>
      <c r="C166" s="620"/>
      <c r="D166" s="620"/>
      <c r="E166" s="620"/>
      <c r="F166" s="620"/>
      <c r="G166" s="620"/>
      <c r="H166" s="620"/>
      <c r="I166" s="620"/>
      <c r="J166" s="620"/>
      <c r="K166" s="620"/>
      <c r="L166" s="620"/>
      <c r="M166" s="620"/>
      <c r="N166" s="620"/>
      <c r="O166" s="620"/>
      <c r="P166" s="620"/>
      <c r="Q166" s="620"/>
      <c r="R166" s="620"/>
      <c r="S166" s="620"/>
      <c r="T166" s="620"/>
      <c r="U166" s="620"/>
      <c r="V166" s="620"/>
      <c r="W166" s="620"/>
      <c r="X166" s="620"/>
      <c r="Y166" s="620"/>
      <c r="Z166" s="620"/>
      <c r="AA166" s="620"/>
      <c r="AB166" s="621"/>
      <c r="AC166" s="1"/>
      <c r="AD166" s="1"/>
      <c r="AE166" s="1"/>
      <c r="AF166" s="1"/>
      <c r="AG166" s="1"/>
      <c r="AH166" s="1"/>
      <c r="AI166" s="1"/>
      <c r="AJ166" s="1"/>
      <c r="AK166" s="1"/>
      <c r="AL166" s="1"/>
      <c r="AM166" s="1"/>
      <c r="AN166" s="1"/>
      <c r="AO166" s="1"/>
      <c r="AP166" s="1"/>
      <c r="AQ166" s="1"/>
      <c r="AR166" s="1"/>
    </row>
    <row r="167" spans="1:44" ht="21" customHeight="1">
      <c r="A167" s="692"/>
      <c r="B167" s="669"/>
      <c r="C167" s="680" t="s">
        <v>96</v>
      </c>
      <c r="D167" s="621"/>
      <c r="E167" s="697" t="s">
        <v>79</v>
      </c>
      <c r="F167" s="637"/>
      <c r="G167" s="654" t="s">
        <v>80</v>
      </c>
      <c r="H167" s="637"/>
      <c r="I167" s="654" t="s">
        <v>81</v>
      </c>
      <c r="J167" s="637"/>
      <c r="K167" s="654" t="s">
        <v>82</v>
      </c>
      <c r="L167" s="637"/>
      <c r="M167" s="654" t="s">
        <v>83</v>
      </c>
      <c r="N167" s="637"/>
      <c r="O167" s="654" t="s">
        <v>84</v>
      </c>
      <c r="P167" s="637"/>
      <c r="Q167" s="654" t="s">
        <v>85</v>
      </c>
      <c r="R167" s="637"/>
      <c r="S167" s="654" t="s">
        <v>86</v>
      </c>
      <c r="T167" s="637"/>
      <c r="U167" s="654" t="s">
        <v>87</v>
      </c>
      <c r="V167" s="637"/>
      <c r="W167" s="654" t="s">
        <v>88</v>
      </c>
      <c r="X167" s="637"/>
      <c r="Y167" s="654" t="s">
        <v>89</v>
      </c>
      <c r="Z167" s="637"/>
      <c r="AA167" s="654" t="s">
        <v>90</v>
      </c>
      <c r="AB167" s="637"/>
      <c r="AC167" s="1"/>
      <c r="AD167" s="1"/>
      <c r="AE167" s="1"/>
      <c r="AF167" s="1"/>
      <c r="AG167" s="1"/>
      <c r="AH167" s="1"/>
      <c r="AI167" s="1"/>
      <c r="AJ167" s="1"/>
      <c r="AK167" s="1"/>
      <c r="AL167" s="1"/>
      <c r="AM167" s="1"/>
      <c r="AN167" s="1"/>
      <c r="AO167" s="1"/>
      <c r="AP167" s="1"/>
      <c r="AQ167" s="1"/>
      <c r="AR167" s="1"/>
    </row>
    <row r="168" spans="1:44" ht="14.4" customHeight="1">
      <c r="A168" s="678" t="s">
        <v>99</v>
      </c>
      <c r="B168" s="637"/>
      <c r="C168" s="666" t="s">
        <v>100</v>
      </c>
      <c r="D168" s="652"/>
      <c r="E168" s="656" t="s">
        <v>101</v>
      </c>
      <c r="F168" s="652"/>
      <c r="G168" s="656" t="s">
        <v>101</v>
      </c>
      <c r="H168" s="652"/>
      <c r="I168" s="656" t="s">
        <v>101</v>
      </c>
      <c r="J168" s="652"/>
      <c r="K168" s="656" t="s">
        <v>101</v>
      </c>
      <c r="L168" s="652"/>
      <c r="M168" s="656" t="s">
        <v>101</v>
      </c>
      <c r="N168" s="652"/>
      <c r="O168" s="656" t="s">
        <v>101</v>
      </c>
      <c r="P168" s="652"/>
      <c r="Q168" s="656" t="s">
        <v>101</v>
      </c>
      <c r="R168" s="652"/>
      <c r="S168" s="656" t="s">
        <v>101</v>
      </c>
      <c r="T168" s="652"/>
      <c r="U168" s="656" t="s">
        <v>101</v>
      </c>
      <c r="V168" s="652"/>
      <c r="W168" s="656" t="s">
        <v>101</v>
      </c>
      <c r="X168" s="652"/>
      <c r="Y168" s="656" t="s">
        <v>101</v>
      </c>
      <c r="Z168" s="652"/>
      <c r="AA168" s="656" t="s">
        <v>101</v>
      </c>
      <c r="AB168" s="652"/>
      <c r="AC168" s="1"/>
      <c r="AD168" s="1"/>
      <c r="AE168" s="1"/>
      <c r="AF168" s="1"/>
      <c r="AG168" s="1"/>
      <c r="AH168" s="1"/>
      <c r="AI168" s="1"/>
      <c r="AJ168" s="1"/>
      <c r="AK168" s="1"/>
      <c r="AL168" s="1"/>
      <c r="AM168" s="1"/>
      <c r="AN168" s="1"/>
      <c r="AO168" s="1"/>
      <c r="AP168" s="1"/>
      <c r="AQ168" s="1"/>
      <c r="AR168" s="1"/>
    </row>
    <row r="169" spans="1:44" ht="14.4" customHeight="1">
      <c r="A169" s="638"/>
      <c r="B169" s="639"/>
      <c r="C169" s="650" t="s">
        <v>102</v>
      </c>
      <c r="D169" s="649"/>
      <c r="E169" s="655" t="s">
        <v>101</v>
      </c>
      <c r="F169" s="649"/>
      <c r="G169" s="655" t="s">
        <v>101</v>
      </c>
      <c r="H169" s="649"/>
      <c r="I169" s="655" t="s">
        <v>101</v>
      </c>
      <c r="J169" s="649"/>
      <c r="K169" s="655" t="s">
        <v>101</v>
      </c>
      <c r="L169" s="649"/>
      <c r="M169" s="655" t="s">
        <v>101</v>
      </c>
      <c r="N169" s="649"/>
      <c r="O169" s="655" t="s">
        <v>101</v>
      </c>
      <c r="P169" s="649"/>
      <c r="Q169" s="655" t="s">
        <v>101</v>
      </c>
      <c r="R169" s="649"/>
      <c r="S169" s="655" t="s">
        <v>101</v>
      </c>
      <c r="T169" s="649"/>
      <c r="U169" s="655" t="s">
        <v>101</v>
      </c>
      <c r="V169" s="649"/>
      <c r="W169" s="655" t="s">
        <v>101</v>
      </c>
      <c r="X169" s="649"/>
      <c r="Y169" s="655" t="s">
        <v>101</v>
      </c>
      <c r="Z169" s="649"/>
      <c r="AA169" s="655" t="s">
        <v>101</v>
      </c>
      <c r="AB169" s="649"/>
      <c r="AC169" s="1"/>
      <c r="AD169" s="1"/>
      <c r="AE169" s="1"/>
      <c r="AF169" s="1"/>
      <c r="AG169" s="1"/>
      <c r="AH169" s="1"/>
      <c r="AI169" s="1"/>
      <c r="AJ169" s="1"/>
      <c r="AK169" s="1"/>
      <c r="AL169" s="1"/>
      <c r="AM169" s="1"/>
      <c r="AN169" s="1"/>
      <c r="AO169" s="1"/>
      <c r="AP169" s="1"/>
      <c r="AQ169" s="1"/>
      <c r="AR169" s="1"/>
    </row>
    <row r="170" spans="1:44" ht="14.4" customHeight="1">
      <c r="A170" s="638"/>
      <c r="B170" s="639"/>
      <c r="C170" s="650" t="s">
        <v>103</v>
      </c>
      <c r="D170" s="649"/>
      <c r="E170" s="655" t="s">
        <v>101</v>
      </c>
      <c r="F170" s="649"/>
      <c r="G170" s="655" t="s">
        <v>101</v>
      </c>
      <c r="H170" s="649"/>
      <c r="I170" s="655" t="s">
        <v>101</v>
      </c>
      <c r="J170" s="649"/>
      <c r="K170" s="655" t="s">
        <v>101</v>
      </c>
      <c r="L170" s="649"/>
      <c r="M170" s="655" t="s">
        <v>101</v>
      </c>
      <c r="N170" s="649"/>
      <c r="O170" s="655" t="s">
        <v>101</v>
      </c>
      <c r="P170" s="649"/>
      <c r="Q170" s="655" t="s">
        <v>101</v>
      </c>
      <c r="R170" s="649"/>
      <c r="S170" s="655" t="s">
        <v>101</v>
      </c>
      <c r="T170" s="649"/>
      <c r="U170" s="655" t="s">
        <v>101</v>
      </c>
      <c r="V170" s="649"/>
      <c r="W170" s="655" t="s">
        <v>101</v>
      </c>
      <c r="X170" s="649"/>
      <c r="Y170" s="655" t="s">
        <v>101</v>
      </c>
      <c r="Z170" s="649"/>
      <c r="AA170" s="655" t="s">
        <v>101</v>
      </c>
      <c r="AB170" s="649"/>
      <c r="AC170" s="1"/>
      <c r="AD170" s="1"/>
      <c r="AE170" s="1"/>
      <c r="AF170" s="1"/>
      <c r="AG170" s="1"/>
      <c r="AH170" s="1"/>
      <c r="AI170" s="1"/>
      <c r="AJ170" s="1"/>
      <c r="AK170" s="1"/>
      <c r="AL170" s="1"/>
      <c r="AM170" s="1"/>
      <c r="AN170" s="1"/>
      <c r="AO170" s="1"/>
      <c r="AP170" s="1"/>
      <c r="AQ170" s="1"/>
      <c r="AR170" s="1"/>
    </row>
    <row r="171" spans="1:44" ht="14.4" customHeight="1">
      <c r="A171" s="638"/>
      <c r="B171" s="639"/>
      <c r="C171" s="650" t="s">
        <v>104</v>
      </c>
      <c r="D171" s="649"/>
      <c r="E171" s="655" t="s">
        <v>101</v>
      </c>
      <c r="F171" s="649"/>
      <c r="G171" s="655" t="s">
        <v>129</v>
      </c>
      <c r="H171" s="649"/>
      <c r="I171" s="655" t="s">
        <v>101</v>
      </c>
      <c r="J171" s="649"/>
      <c r="K171" s="655" t="s">
        <v>101</v>
      </c>
      <c r="L171" s="649"/>
      <c r="M171" s="655" t="s">
        <v>101</v>
      </c>
      <c r="N171" s="649"/>
      <c r="O171" s="655" t="s">
        <v>101</v>
      </c>
      <c r="P171" s="649"/>
      <c r="Q171" s="655" t="s">
        <v>101</v>
      </c>
      <c r="R171" s="649"/>
      <c r="S171" s="655" t="s">
        <v>101</v>
      </c>
      <c r="T171" s="649"/>
      <c r="U171" s="655" t="s">
        <v>101</v>
      </c>
      <c r="V171" s="649"/>
      <c r="W171" s="655" t="s">
        <v>101</v>
      </c>
      <c r="X171" s="649"/>
      <c r="Y171" s="655" t="s">
        <v>101</v>
      </c>
      <c r="Z171" s="649"/>
      <c r="AA171" s="655" t="s">
        <v>101</v>
      </c>
      <c r="AB171" s="649"/>
      <c r="AC171" s="1"/>
      <c r="AD171" s="1"/>
      <c r="AE171" s="1"/>
      <c r="AF171" s="1"/>
      <c r="AG171" s="1"/>
      <c r="AH171" s="1"/>
      <c r="AI171" s="1"/>
      <c r="AJ171" s="1"/>
      <c r="AK171" s="1"/>
      <c r="AL171" s="1"/>
      <c r="AM171" s="1"/>
      <c r="AN171" s="1"/>
      <c r="AO171" s="1"/>
      <c r="AP171" s="1"/>
      <c r="AQ171" s="1"/>
      <c r="AR171" s="1"/>
    </row>
    <row r="172" spans="1:44" ht="14.4" customHeight="1">
      <c r="A172" s="638"/>
      <c r="B172" s="639"/>
      <c r="C172" s="650" t="s">
        <v>105</v>
      </c>
      <c r="D172" s="649"/>
      <c r="E172" s="655" t="s">
        <v>101</v>
      </c>
      <c r="F172" s="649"/>
      <c r="G172" s="658" t="s">
        <v>101</v>
      </c>
      <c r="H172" s="649"/>
      <c r="I172" s="655" t="s">
        <v>101</v>
      </c>
      <c r="J172" s="649"/>
      <c r="K172" s="655" t="s">
        <v>101</v>
      </c>
      <c r="L172" s="649"/>
      <c r="M172" s="655" t="s">
        <v>101</v>
      </c>
      <c r="N172" s="649"/>
      <c r="O172" s="655" t="s">
        <v>101</v>
      </c>
      <c r="P172" s="649"/>
      <c r="Q172" s="658" t="s">
        <v>106</v>
      </c>
      <c r="R172" s="649"/>
      <c r="S172" s="655" t="s">
        <v>101</v>
      </c>
      <c r="T172" s="649"/>
      <c r="U172" s="655" t="s">
        <v>101</v>
      </c>
      <c r="V172" s="649"/>
      <c r="W172" s="655" t="s">
        <v>101</v>
      </c>
      <c r="X172" s="649"/>
      <c r="Y172" s="655" t="s">
        <v>101</v>
      </c>
      <c r="Z172" s="649"/>
      <c r="AA172" s="655" t="s">
        <v>101</v>
      </c>
      <c r="AB172" s="649"/>
      <c r="AC172" s="1"/>
      <c r="AD172" s="1"/>
      <c r="AE172" s="1"/>
      <c r="AF172" s="1"/>
      <c r="AG172" s="1"/>
      <c r="AH172" s="1"/>
      <c r="AI172" s="1"/>
      <c r="AJ172" s="1"/>
      <c r="AK172" s="1"/>
      <c r="AL172" s="1"/>
      <c r="AM172" s="1"/>
      <c r="AN172" s="1"/>
      <c r="AO172" s="1"/>
      <c r="AP172" s="1"/>
      <c r="AQ172" s="1"/>
      <c r="AR172" s="1"/>
    </row>
    <row r="173" spans="1:44" ht="14.4" customHeight="1">
      <c r="A173" s="638"/>
      <c r="B173" s="639"/>
      <c r="C173" s="650"/>
      <c r="D173" s="649"/>
      <c r="E173" s="655"/>
      <c r="F173" s="649"/>
      <c r="G173" s="655"/>
      <c r="H173" s="649"/>
      <c r="I173" s="655"/>
      <c r="J173" s="649"/>
      <c r="K173" s="655"/>
      <c r="L173" s="649"/>
      <c r="M173" s="655"/>
      <c r="N173" s="649"/>
      <c r="O173" s="655"/>
      <c r="P173" s="649"/>
      <c r="Q173" s="655"/>
      <c r="R173" s="649"/>
      <c r="S173" s="655"/>
      <c r="T173" s="649"/>
      <c r="U173" s="655"/>
      <c r="V173" s="649"/>
      <c r="W173" s="655"/>
      <c r="X173" s="649"/>
      <c r="Y173" s="655"/>
      <c r="Z173" s="649"/>
      <c r="AA173" s="655"/>
      <c r="AB173" s="649"/>
      <c r="AC173" s="1"/>
      <c r="AD173" s="1"/>
      <c r="AE173" s="1"/>
      <c r="AF173" s="1"/>
      <c r="AG173" s="1"/>
      <c r="AH173" s="1"/>
      <c r="AI173" s="1"/>
      <c r="AJ173" s="1"/>
      <c r="AK173" s="1"/>
      <c r="AL173" s="1"/>
      <c r="AM173" s="1"/>
      <c r="AN173" s="1"/>
      <c r="AO173" s="1"/>
      <c r="AP173" s="1"/>
      <c r="AQ173" s="1"/>
      <c r="AR173" s="1"/>
    </row>
    <row r="174" spans="1:44" ht="14.4" customHeight="1">
      <c r="A174" s="638"/>
      <c r="B174" s="639"/>
      <c r="C174" s="650"/>
      <c r="D174" s="649"/>
      <c r="E174" s="658"/>
      <c r="F174" s="649"/>
      <c r="G174" s="655"/>
      <c r="H174" s="649"/>
      <c r="I174" s="655"/>
      <c r="J174" s="649"/>
      <c r="K174" s="655"/>
      <c r="L174" s="649"/>
      <c r="M174" s="655"/>
      <c r="N174" s="649"/>
      <c r="O174" s="655"/>
      <c r="P174" s="649"/>
      <c r="Q174" s="655"/>
      <c r="R174" s="649"/>
      <c r="S174" s="655"/>
      <c r="T174" s="649"/>
      <c r="U174" s="655"/>
      <c r="V174" s="649"/>
      <c r="W174" s="655"/>
      <c r="X174" s="649"/>
      <c r="Y174" s="655"/>
      <c r="Z174" s="649"/>
      <c r="AA174" s="655"/>
      <c r="AB174" s="649"/>
      <c r="AC174" s="1"/>
      <c r="AD174" s="1"/>
      <c r="AE174" s="1"/>
      <c r="AF174" s="1"/>
      <c r="AG174" s="1"/>
      <c r="AH174" s="1"/>
      <c r="AI174" s="1"/>
      <c r="AJ174" s="1"/>
      <c r="AK174" s="1"/>
      <c r="AL174" s="1"/>
      <c r="AM174" s="1"/>
      <c r="AN174" s="1"/>
      <c r="AO174" s="1"/>
      <c r="AP174" s="1"/>
      <c r="AQ174" s="1"/>
      <c r="AR174" s="1"/>
    </row>
    <row r="175" spans="1:44" ht="14.4" customHeight="1">
      <c r="A175" s="638"/>
      <c r="B175" s="639"/>
      <c r="C175" s="650"/>
      <c r="D175" s="649"/>
      <c r="E175" s="655"/>
      <c r="F175" s="649"/>
      <c r="G175" s="655"/>
      <c r="H175" s="649"/>
      <c r="I175" s="655"/>
      <c r="J175" s="649"/>
      <c r="K175" s="655"/>
      <c r="L175" s="649"/>
      <c r="M175" s="655"/>
      <c r="N175" s="649"/>
      <c r="O175" s="655"/>
      <c r="P175" s="649"/>
      <c r="Q175" s="655"/>
      <c r="R175" s="649"/>
      <c r="S175" s="655"/>
      <c r="T175" s="649"/>
      <c r="U175" s="655"/>
      <c r="V175" s="649"/>
      <c r="W175" s="655"/>
      <c r="X175" s="649"/>
      <c r="Y175" s="655"/>
      <c r="Z175" s="649"/>
      <c r="AA175" s="655"/>
      <c r="AB175" s="649"/>
      <c r="AC175" s="1"/>
      <c r="AD175" s="1"/>
      <c r="AE175" s="1"/>
      <c r="AF175" s="1"/>
      <c r="AG175" s="1"/>
      <c r="AH175" s="1"/>
      <c r="AI175" s="1"/>
      <c r="AJ175" s="1"/>
      <c r="AK175" s="1"/>
      <c r="AL175" s="1"/>
      <c r="AM175" s="1"/>
      <c r="AN175" s="1"/>
      <c r="AO175" s="1"/>
      <c r="AP175" s="1"/>
      <c r="AQ175" s="1"/>
      <c r="AR175" s="1"/>
    </row>
    <row r="176" spans="1:44" ht="14.4" customHeight="1">
      <c r="A176" s="638"/>
      <c r="B176" s="639"/>
      <c r="C176" s="650"/>
      <c r="D176" s="649"/>
      <c r="E176" s="655"/>
      <c r="F176" s="649"/>
      <c r="G176" s="655"/>
      <c r="H176" s="649"/>
      <c r="I176" s="655"/>
      <c r="J176" s="649"/>
      <c r="K176" s="655"/>
      <c r="L176" s="649"/>
      <c r="M176" s="655"/>
      <c r="N176" s="649"/>
      <c r="O176" s="655"/>
      <c r="P176" s="649"/>
      <c r="Q176" s="655"/>
      <c r="R176" s="649"/>
      <c r="S176" s="655"/>
      <c r="T176" s="649"/>
      <c r="U176" s="655"/>
      <c r="V176" s="649"/>
      <c r="W176" s="655"/>
      <c r="X176" s="649"/>
      <c r="Y176" s="655"/>
      <c r="Z176" s="649"/>
      <c r="AA176" s="655"/>
      <c r="AB176" s="649"/>
      <c r="AC176" s="1"/>
      <c r="AD176" s="1"/>
      <c r="AE176" s="1"/>
      <c r="AF176" s="1"/>
      <c r="AG176" s="1"/>
      <c r="AH176" s="1"/>
      <c r="AI176" s="1"/>
      <c r="AJ176" s="1"/>
      <c r="AK176" s="1"/>
      <c r="AL176" s="1"/>
      <c r="AM176" s="1"/>
      <c r="AN176" s="1"/>
      <c r="AO176" s="1"/>
      <c r="AP176" s="1"/>
      <c r="AQ176" s="1"/>
      <c r="AR176" s="1"/>
    </row>
    <row r="177" spans="1:44" ht="14.4" customHeight="1">
      <c r="A177" s="638"/>
      <c r="B177" s="639"/>
      <c r="C177" s="650"/>
      <c r="D177" s="649"/>
      <c r="E177" s="655"/>
      <c r="F177" s="649"/>
      <c r="G177" s="655"/>
      <c r="H177" s="649"/>
      <c r="I177" s="655"/>
      <c r="J177" s="649"/>
      <c r="K177" s="655"/>
      <c r="L177" s="649"/>
      <c r="M177" s="655"/>
      <c r="N177" s="649"/>
      <c r="O177" s="655"/>
      <c r="P177" s="649"/>
      <c r="Q177" s="655"/>
      <c r="R177" s="649"/>
      <c r="S177" s="655"/>
      <c r="T177" s="649"/>
      <c r="U177" s="655"/>
      <c r="V177" s="649"/>
      <c r="W177" s="655"/>
      <c r="X177" s="649"/>
      <c r="Y177" s="655"/>
      <c r="Z177" s="649"/>
      <c r="AA177" s="655"/>
      <c r="AB177" s="649"/>
      <c r="AC177" s="1"/>
      <c r="AD177" s="1"/>
      <c r="AE177" s="1"/>
      <c r="AF177" s="1"/>
      <c r="AG177" s="1"/>
      <c r="AH177" s="1"/>
      <c r="AI177" s="1"/>
      <c r="AJ177" s="1"/>
      <c r="AK177" s="1"/>
      <c r="AL177" s="1"/>
      <c r="AM177" s="1"/>
      <c r="AN177" s="1"/>
      <c r="AO177" s="1"/>
      <c r="AP177" s="1"/>
      <c r="AQ177" s="1"/>
      <c r="AR177" s="1"/>
    </row>
    <row r="178" spans="1:44" ht="14.4" customHeight="1">
      <c r="A178" s="638"/>
      <c r="B178" s="639"/>
      <c r="C178" s="650"/>
      <c r="D178" s="649"/>
      <c r="E178" s="655"/>
      <c r="F178" s="649"/>
      <c r="G178" s="655"/>
      <c r="H178" s="649"/>
      <c r="I178" s="655"/>
      <c r="J178" s="649"/>
      <c r="K178" s="655"/>
      <c r="L178" s="649"/>
      <c r="M178" s="655"/>
      <c r="N178" s="649"/>
      <c r="O178" s="655"/>
      <c r="P178" s="649"/>
      <c r="Q178" s="655"/>
      <c r="R178" s="649"/>
      <c r="S178" s="655"/>
      <c r="T178" s="649"/>
      <c r="U178" s="655"/>
      <c r="V178" s="649"/>
      <c r="W178" s="655"/>
      <c r="X178" s="649"/>
      <c r="Y178" s="655"/>
      <c r="Z178" s="649"/>
      <c r="AA178" s="655"/>
      <c r="AB178" s="649"/>
      <c r="AC178" s="1"/>
      <c r="AD178" s="1"/>
      <c r="AE178" s="1"/>
      <c r="AF178" s="1"/>
      <c r="AG178" s="1"/>
      <c r="AH178" s="1"/>
      <c r="AI178" s="1"/>
      <c r="AJ178" s="1"/>
      <c r="AK178" s="1"/>
      <c r="AL178" s="1"/>
      <c r="AM178" s="1"/>
      <c r="AN178" s="1"/>
      <c r="AO178" s="1"/>
      <c r="AP178" s="1"/>
      <c r="AQ178" s="1"/>
      <c r="AR178" s="1"/>
    </row>
    <row r="179" spans="1:44" ht="14.4" customHeight="1">
      <c r="A179" s="638"/>
      <c r="B179" s="639"/>
      <c r="C179" s="650"/>
      <c r="D179" s="649"/>
      <c r="E179" s="655"/>
      <c r="F179" s="649"/>
      <c r="G179" s="655"/>
      <c r="H179" s="649"/>
      <c r="I179" s="655"/>
      <c r="J179" s="649"/>
      <c r="K179" s="655"/>
      <c r="L179" s="649"/>
      <c r="M179" s="655"/>
      <c r="N179" s="649"/>
      <c r="O179" s="655"/>
      <c r="P179" s="649"/>
      <c r="Q179" s="655"/>
      <c r="R179" s="649"/>
      <c r="S179" s="655"/>
      <c r="T179" s="649"/>
      <c r="U179" s="655"/>
      <c r="V179" s="649"/>
      <c r="W179" s="655"/>
      <c r="X179" s="649"/>
      <c r="Y179" s="655"/>
      <c r="Z179" s="649"/>
      <c r="AA179" s="655"/>
      <c r="AB179" s="649"/>
      <c r="AC179" s="1"/>
      <c r="AD179" s="1"/>
      <c r="AE179" s="1"/>
      <c r="AF179" s="1"/>
      <c r="AG179" s="1"/>
      <c r="AH179" s="1"/>
      <c r="AI179" s="1"/>
      <c r="AJ179" s="1"/>
      <c r="AK179" s="1"/>
      <c r="AL179" s="1"/>
      <c r="AM179" s="1"/>
      <c r="AN179" s="1"/>
      <c r="AO179" s="1"/>
      <c r="AP179" s="1"/>
      <c r="AQ179" s="1"/>
      <c r="AR179" s="1"/>
    </row>
    <row r="180" spans="1:44" ht="14.4" customHeight="1">
      <c r="A180" s="638"/>
      <c r="B180" s="639"/>
      <c r="C180" s="650"/>
      <c r="D180" s="649"/>
      <c r="E180" s="655"/>
      <c r="F180" s="649"/>
      <c r="G180" s="655"/>
      <c r="H180" s="649"/>
      <c r="I180" s="655"/>
      <c r="J180" s="649"/>
      <c r="K180" s="655"/>
      <c r="L180" s="649"/>
      <c r="M180" s="655"/>
      <c r="N180" s="649"/>
      <c r="O180" s="655"/>
      <c r="P180" s="649"/>
      <c r="Q180" s="655"/>
      <c r="R180" s="649"/>
      <c r="S180" s="655"/>
      <c r="T180" s="649"/>
      <c r="U180" s="655"/>
      <c r="V180" s="649"/>
      <c r="W180" s="655"/>
      <c r="X180" s="649"/>
      <c r="Y180" s="655"/>
      <c r="Z180" s="649"/>
      <c r="AA180" s="655"/>
      <c r="AB180" s="649"/>
      <c r="AC180" s="1"/>
      <c r="AD180" s="1"/>
      <c r="AE180" s="1"/>
      <c r="AF180" s="1"/>
      <c r="AG180" s="1"/>
      <c r="AH180" s="1"/>
      <c r="AI180" s="1"/>
      <c r="AJ180" s="1"/>
      <c r="AK180" s="1"/>
      <c r="AL180" s="1"/>
      <c r="AM180" s="1"/>
      <c r="AN180" s="1"/>
      <c r="AO180" s="1"/>
      <c r="AP180" s="1"/>
      <c r="AQ180" s="1"/>
      <c r="AR180" s="1"/>
    </row>
    <row r="181" spans="1:44" ht="14.4" customHeight="1">
      <c r="A181" s="638"/>
      <c r="B181" s="639"/>
      <c r="C181" s="650"/>
      <c r="D181" s="649"/>
      <c r="E181" s="655"/>
      <c r="F181" s="649"/>
      <c r="G181" s="655"/>
      <c r="H181" s="649"/>
      <c r="I181" s="655"/>
      <c r="J181" s="649"/>
      <c r="K181" s="655"/>
      <c r="L181" s="649"/>
      <c r="M181" s="655"/>
      <c r="N181" s="649"/>
      <c r="O181" s="655"/>
      <c r="P181" s="649"/>
      <c r="Q181" s="655"/>
      <c r="R181" s="649"/>
      <c r="S181" s="655"/>
      <c r="T181" s="649"/>
      <c r="U181" s="655"/>
      <c r="V181" s="649"/>
      <c r="W181" s="655"/>
      <c r="X181" s="649"/>
      <c r="Y181" s="655"/>
      <c r="Z181" s="649"/>
      <c r="AA181" s="655"/>
      <c r="AB181" s="649"/>
      <c r="AC181" s="1"/>
      <c r="AD181" s="1"/>
      <c r="AE181" s="1"/>
      <c r="AF181" s="1"/>
      <c r="AG181" s="1"/>
      <c r="AH181" s="1"/>
      <c r="AI181" s="1"/>
      <c r="AJ181" s="1"/>
      <c r="AK181" s="1"/>
      <c r="AL181" s="1"/>
      <c r="AM181" s="1"/>
      <c r="AN181" s="1"/>
      <c r="AO181" s="1"/>
      <c r="AP181" s="1"/>
      <c r="AQ181" s="1"/>
      <c r="AR181" s="1"/>
    </row>
    <row r="182" spans="1:44" ht="14.4" customHeight="1">
      <c r="A182" s="638"/>
      <c r="B182" s="639"/>
      <c r="C182" s="650"/>
      <c r="D182" s="649"/>
      <c r="E182" s="655"/>
      <c r="F182" s="649"/>
      <c r="G182" s="655"/>
      <c r="H182" s="649"/>
      <c r="I182" s="655"/>
      <c r="J182" s="649"/>
      <c r="K182" s="655"/>
      <c r="L182" s="649"/>
      <c r="M182" s="655"/>
      <c r="N182" s="649"/>
      <c r="O182" s="655"/>
      <c r="P182" s="649"/>
      <c r="Q182" s="655"/>
      <c r="R182" s="649"/>
      <c r="S182" s="655"/>
      <c r="T182" s="649"/>
      <c r="U182" s="655"/>
      <c r="V182" s="649"/>
      <c r="W182" s="655"/>
      <c r="X182" s="649"/>
      <c r="Y182" s="655"/>
      <c r="Z182" s="649"/>
      <c r="AA182" s="655"/>
      <c r="AB182" s="649"/>
      <c r="AC182" s="1"/>
      <c r="AD182" s="1"/>
      <c r="AE182" s="1"/>
      <c r="AF182" s="1"/>
      <c r="AG182" s="1"/>
      <c r="AH182" s="1"/>
      <c r="AI182" s="1"/>
      <c r="AJ182" s="1"/>
      <c r="AK182" s="1"/>
      <c r="AL182" s="1"/>
      <c r="AM182" s="1"/>
      <c r="AN182" s="1"/>
      <c r="AO182" s="1"/>
      <c r="AP182" s="1"/>
      <c r="AQ182" s="1"/>
      <c r="AR182" s="1"/>
    </row>
    <row r="183" spans="1:44" ht="14.4" customHeight="1">
      <c r="A183" s="638"/>
      <c r="B183" s="639"/>
      <c r="C183" s="650"/>
      <c r="D183" s="649"/>
      <c r="E183" s="655"/>
      <c r="F183" s="649"/>
      <c r="G183" s="655"/>
      <c r="H183" s="649"/>
      <c r="I183" s="655"/>
      <c r="J183" s="649"/>
      <c r="K183" s="655"/>
      <c r="L183" s="649"/>
      <c r="M183" s="655"/>
      <c r="N183" s="649"/>
      <c r="O183" s="655"/>
      <c r="P183" s="649"/>
      <c r="Q183" s="655"/>
      <c r="R183" s="649"/>
      <c r="S183" s="655"/>
      <c r="T183" s="649"/>
      <c r="U183" s="655"/>
      <c r="V183" s="649"/>
      <c r="W183" s="655"/>
      <c r="X183" s="649"/>
      <c r="Y183" s="655"/>
      <c r="Z183" s="649"/>
      <c r="AA183" s="655"/>
      <c r="AB183" s="649"/>
      <c r="AC183" s="1"/>
      <c r="AD183" s="1"/>
      <c r="AE183" s="1"/>
      <c r="AF183" s="1"/>
      <c r="AG183" s="1"/>
      <c r="AH183" s="1"/>
      <c r="AI183" s="1"/>
      <c r="AJ183" s="1"/>
      <c r="AK183" s="1"/>
      <c r="AL183" s="1"/>
      <c r="AM183" s="1"/>
      <c r="AN183" s="1"/>
      <c r="AO183" s="1"/>
      <c r="AP183" s="1"/>
      <c r="AQ183" s="1"/>
      <c r="AR183" s="1"/>
    </row>
    <row r="184" spans="1:44" ht="14.4" customHeight="1">
      <c r="A184" s="638"/>
      <c r="B184" s="639"/>
      <c r="C184" s="650"/>
      <c r="D184" s="649"/>
      <c r="E184" s="655"/>
      <c r="F184" s="649"/>
      <c r="G184" s="655"/>
      <c r="H184" s="649"/>
      <c r="I184" s="655"/>
      <c r="J184" s="649"/>
      <c r="K184" s="655"/>
      <c r="L184" s="649"/>
      <c r="M184" s="655"/>
      <c r="N184" s="649"/>
      <c r="O184" s="655"/>
      <c r="P184" s="649"/>
      <c r="Q184" s="655"/>
      <c r="R184" s="649"/>
      <c r="S184" s="655"/>
      <c r="T184" s="649"/>
      <c r="U184" s="655"/>
      <c r="V184" s="649"/>
      <c r="W184" s="655"/>
      <c r="X184" s="649"/>
      <c r="Y184" s="655"/>
      <c r="Z184" s="649"/>
      <c r="AA184" s="655"/>
      <c r="AB184" s="649"/>
      <c r="AC184" s="1"/>
      <c r="AD184" s="1"/>
      <c r="AE184" s="1"/>
      <c r="AF184" s="1"/>
      <c r="AG184" s="1"/>
      <c r="AH184" s="1"/>
      <c r="AI184" s="1"/>
      <c r="AJ184" s="1"/>
      <c r="AK184" s="1"/>
      <c r="AL184" s="1"/>
      <c r="AM184" s="1"/>
      <c r="AN184" s="1"/>
      <c r="AO184" s="1"/>
      <c r="AP184" s="1"/>
      <c r="AQ184" s="1"/>
      <c r="AR184" s="1"/>
    </row>
    <row r="185" spans="1:44" ht="14.4" customHeight="1">
      <c r="A185" s="640"/>
      <c r="B185" s="642"/>
      <c r="C185" s="704"/>
      <c r="D185" s="669"/>
      <c r="E185" s="667"/>
      <c r="F185" s="662"/>
      <c r="G185" s="667"/>
      <c r="H185" s="662"/>
      <c r="I185" s="667"/>
      <c r="J185" s="662"/>
      <c r="K185" s="667"/>
      <c r="L185" s="662"/>
      <c r="M185" s="667"/>
      <c r="N185" s="662"/>
      <c r="O185" s="667"/>
      <c r="P185" s="662"/>
      <c r="Q185" s="667"/>
      <c r="R185" s="662"/>
      <c r="S185" s="667"/>
      <c r="T185" s="662"/>
      <c r="U185" s="668"/>
      <c r="V185" s="669"/>
      <c r="W185" s="667"/>
      <c r="X185" s="662"/>
      <c r="Y185" s="667"/>
      <c r="Z185" s="662"/>
      <c r="AA185" s="667"/>
      <c r="AB185" s="662"/>
      <c r="AC185" s="1"/>
      <c r="AD185" s="1"/>
      <c r="AE185" s="1"/>
      <c r="AF185" s="1"/>
      <c r="AG185" s="1"/>
      <c r="AH185" s="1"/>
      <c r="AI185" s="1"/>
      <c r="AJ185" s="1"/>
      <c r="AK185" s="1"/>
      <c r="AL185" s="1"/>
      <c r="AM185" s="1"/>
      <c r="AN185" s="1"/>
      <c r="AO185" s="1"/>
      <c r="AP185" s="1"/>
      <c r="AQ185" s="1"/>
      <c r="AR185" s="1"/>
    </row>
    <row r="186" spans="1:44" ht="14.4" customHeight="1">
      <c r="A186" s="708" t="s">
        <v>107</v>
      </c>
      <c r="B186" s="637"/>
      <c r="C186" s="656" t="s">
        <v>108</v>
      </c>
      <c r="D186" s="652"/>
      <c r="E186" s="711" t="s">
        <v>101</v>
      </c>
      <c r="F186" s="637"/>
      <c r="G186" s="656" t="s">
        <v>101</v>
      </c>
      <c r="H186" s="652"/>
      <c r="I186" s="656" t="s">
        <v>101</v>
      </c>
      <c r="J186" s="652"/>
      <c r="K186" s="711" t="s">
        <v>101</v>
      </c>
      <c r="L186" s="637"/>
      <c r="M186" s="656" t="s">
        <v>101</v>
      </c>
      <c r="N186" s="652"/>
      <c r="O186" s="656" t="s">
        <v>101</v>
      </c>
      <c r="P186" s="652"/>
      <c r="Q186" s="656" t="s">
        <v>101</v>
      </c>
      <c r="R186" s="652"/>
      <c r="S186" s="656" t="s">
        <v>101</v>
      </c>
      <c r="T186" s="652"/>
      <c r="U186" s="656" t="s">
        <v>101</v>
      </c>
      <c r="V186" s="652"/>
      <c r="W186" s="656" t="s">
        <v>101</v>
      </c>
      <c r="X186" s="652"/>
      <c r="Y186" s="656" t="s">
        <v>101</v>
      </c>
      <c r="Z186" s="652"/>
      <c r="AA186" s="656" t="s">
        <v>101</v>
      </c>
      <c r="AB186" s="652"/>
      <c r="AC186" s="1"/>
      <c r="AD186" s="1"/>
      <c r="AE186" s="1"/>
      <c r="AF186" s="1"/>
      <c r="AG186" s="1"/>
      <c r="AH186" s="1"/>
      <c r="AI186" s="1"/>
      <c r="AJ186" s="1"/>
      <c r="AK186" s="1"/>
      <c r="AL186" s="1"/>
      <c r="AM186" s="1"/>
      <c r="AN186" s="1"/>
      <c r="AO186" s="1"/>
      <c r="AP186" s="1"/>
      <c r="AQ186" s="1"/>
      <c r="AR186" s="1"/>
    </row>
    <row r="187" spans="1:44" ht="14.4" customHeight="1">
      <c r="A187" s="638"/>
      <c r="B187" s="639"/>
      <c r="C187" s="655" t="s">
        <v>110</v>
      </c>
      <c r="D187" s="649"/>
      <c r="E187" s="658" t="s">
        <v>139</v>
      </c>
      <c r="F187" s="649"/>
      <c r="G187" s="655" t="s">
        <v>101</v>
      </c>
      <c r="H187" s="649"/>
      <c r="I187" s="655" t="s">
        <v>101</v>
      </c>
      <c r="J187" s="649"/>
      <c r="K187" s="660" t="s">
        <v>101</v>
      </c>
      <c r="L187" s="649"/>
      <c r="M187" s="655" t="s">
        <v>101</v>
      </c>
      <c r="N187" s="649"/>
      <c r="O187" s="655" t="s">
        <v>101</v>
      </c>
      <c r="P187" s="649"/>
      <c r="Q187" s="655" t="s">
        <v>101</v>
      </c>
      <c r="R187" s="649"/>
      <c r="S187" s="655" t="s">
        <v>101</v>
      </c>
      <c r="T187" s="649"/>
      <c r="U187" s="655" t="s">
        <v>101</v>
      </c>
      <c r="V187" s="649"/>
      <c r="W187" s="655" t="s">
        <v>101</v>
      </c>
      <c r="X187" s="649"/>
      <c r="Y187" s="655" t="s">
        <v>101</v>
      </c>
      <c r="Z187" s="649"/>
      <c r="AA187" s="655" t="s">
        <v>101</v>
      </c>
      <c r="AB187" s="649"/>
      <c r="AC187" s="1"/>
      <c r="AD187" s="1"/>
      <c r="AE187" s="1"/>
      <c r="AF187" s="1"/>
      <c r="AG187" s="1"/>
      <c r="AH187" s="1"/>
      <c r="AI187" s="1"/>
      <c r="AJ187" s="1"/>
      <c r="AK187" s="1"/>
      <c r="AL187" s="1"/>
      <c r="AM187" s="1"/>
      <c r="AN187" s="1"/>
      <c r="AO187" s="1"/>
      <c r="AP187" s="1"/>
      <c r="AQ187" s="1"/>
      <c r="AR187" s="1"/>
    </row>
    <row r="188" spans="1:44" ht="14.4" customHeight="1">
      <c r="A188" s="638"/>
      <c r="B188" s="639"/>
      <c r="C188" s="655" t="s">
        <v>113</v>
      </c>
      <c r="D188" s="649"/>
      <c r="E188" s="658" t="s">
        <v>130</v>
      </c>
      <c r="F188" s="649"/>
      <c r="G188" s="655" t="s">
        <v>101</v>
      </c>
      <c r="H188" s="649"/>
      <c r="I188" s="655" t="s">
        <v>101</v>
      </c>
      <c r="J188" s="649"/>
      <c r="K188" s="660" t="s">
        <v>101</v>
      </c>
      <c r="L188" s="649"/>
      <c r="M188" s="655" t="s">
        <v>101</v>
      </c>
      <c r="N188" s="649"/>
      <c r="O188" s="655" t="s">
        <v>101</v>
      </c>
      <c r="P188" s="649"/>
      <c r="Q188" s="655" t="s">
        <v>101</v>
      </c>
      <c r="R188" s="649"/>
      <c r="S188" s="655" t="s">
        <v>101</v>
      </c>
      <c r="T188" s="649"/>
      <c r="U188" s="655" t="s">
        <v>101</v>
      </c>
      <c r="V188" s="649"/>
      <c r="W188" s="655" t="s">
        <v>101</v>
      </c>
      <c r="X188" s="649"/>
      <c r="Y188" s="655" t="s">
        <v>101</v>
      </c>
      <c r="Z188" s="649"/>
      <c r="AA188" s="655" t="s">
        <v>101</v>
      </c>
      <c r="AB188" s="649"/>
      <c r="AC188" s="1"/>
      <c r="AD188" s="1"/>
      <c r="AE188" s="1"/>
      <c r="AF188" s="1"/>
      <c r="AG188" s="1"/>
      <c r="AH188" s="1"/>
      <c r="AI188" s="1"/>
      <c r="AJ188" s="1"/>
      <c r="AK188" s="1"/>
      <c r="AL188" s="1"/>
      <c r="AM188" s="1"/>
      <c r="AN188" s="1"/>
      <c r="AO188" s="1"/>
      <c r="AP188" s="1"/>
      <c r="AQ188" s="1"/>
      <c r="AR188" s="1"/>
    </row>
    <row r="189" spans="1:44" ht="14.4" customHeight="1">
      <c r="A189" s="638"/>
      <c r="B189" s="639"/>
      <c r="C189" s="655" t="s">
        <v>115</v>
      </c>
      <c r="D189" s="649"/>
      <c r="E189" s="658" t="s">
        <v>131</v>
      </c>
      <c r="F189" s="649"/>
      <c r="G189" s="655" t="s">
        <v>101</v>
      </c>
      <c r="H189" s="649"/>
      <c r="I189" s="655" t="s">
        <v>101</v>
      </c>
      <c r="J189" s="649"/>
      <c r="K189" s="660" t="s">
        <v>101</v>
      </c>
      <c r="L189" s="649"/>
      <c r="M189" s="655" t="s">
        <v>101</v>
      </c>
      <c r="N189" s="649"/>
      <c r="O189" s="655" t="s">
        <v>101</v>
      </c>
      <c r="P189" s="649"/>
      <c r="Q189" s="655" t="s">
        <v>101</v>
      </c>
      <c r="R189" s="649"/>
      <c r="S189" s="655" t="s">
        <v>101</v>
      </c>
      <c r="T189" s="649"/>
      <c r="U189" s="655" t="s">
        <v>101</v>
      </c>
      <c r="V189" s="649"/>
      <c r="W189" s="655" t="s">
        <v>101</v>
      </c>
      <c r="X189" s="649"/>
      <c r="Y189" s="655" t="s">
        <v>101</v>
      </c>
      <c r="Z189" s="649"/>
      <c r="AA189" s="655" t="s">
        <v>101</v>
      </c>
      <c r="AB189" s="649"/>
      <c r="AC189" s="1"/>
      <c r="AD189" s="1"/>
      <c r="AE189" s="1"/>
      <c r="AF189" s="1"/>
      <c r="AG189" s="1"/>
      <c r="AH189" s="1"/>
      <c r="AI189" s="1"/>
      <c r="AJ189" s="1"/>
      <c r="AK189" s="1"/>
      <c r="AL189" s="1"/>
      <c r="AM189" s="1"/>
      <c r="AN189" s="1"/>
      <c r="AO189" s="1"/>
      <c r="AP189" s="1"/>
      <c r="AQ189" s="1"/>
      <c r="AR189" s="1"/>
    </row>
    <row r="190" spans="1:44" ht="14.4" customHeight="1">
      <c r="A190" s="638"/>
      <c r="B190" s="639"/>
      <c r="C190" s="655">
        <v>0</v>
      </c>
      <c r="D190" s="649"/>
      <c r="E190" s="655" t="s">
        <v>101</v>
      </c>
      <c r="F190" s="649"/>
      <c r="G190" s="655" t="s">
        <v>101</v>
      </c>
      <c r="H190" s="649"/>
      <c r="I190" s="655" t="s">
        <v>101</v>
      </c>
      <c r="J190" s="649"/>
      <c r="K190" s="660" t="s">
        <v>101</v>
      </c>
      <c r="L190" s="649"/>
      <c r="M190" s="655" t="s">
        <v>101</v>
      </c>
      <c r="N190" s="649"/>
      <c r="O190" s="655" t="s">
        <v>101</v>
      </c>
      <c r="P190" s="649"/>
      <c r="Q190" s="655" t="s">
        <v>101</v>
      </c>
      <c r="R190" s="649"/>
      <c r="S190" s="655" t="s">
        <v>101</v>
      </c>
      <c r="T190" s="649"/>
      <c r="U190" s="655" t="s">
        <v>101</v>
      </c>
      <c r="V190" s="649"/>
      <c r="W190" s="655" t="s">
        <v>101</v>
      </c>
      <c r="X190" s="649"/>
      <c r="Y190" s="655" t="s">
        <v>101</v>
      </c>
      <c r="Z190" s="649"/>
      <c r="AA190" s="655" t="s">
        <v>101</v>
      </c>
      <c r="AB190" s="649"/>
      <c r="AC190" s="1"/>
      <c r="AD190" s="1"/>
      <c r="AE190" s="1"/>
      <c r="AF190" s="1"/>
      <c r="AG190" s="1"/>
      <c r="AH190" s="1"/>
      <c r="AI190" s="1"/>
      <c r="AJ190" s="1"/>
      <c r="AK190" s="1"/>
      <c r="AL190" s="1"/>
      <c r="AM190" s="1"/>
      <c r="AN190" s="1"/>
      <c r="AO190" s="1"/>
      <c r="AP190" s="1"/>
      <c r="AQ190" s="1"/>
      <c r="AR190" s="1"/>
    </row>
    <row r="191" spans="1:44" ht="14.4" customHeight="1">
      <c r="A191" s="638"/>
      <c r="B191" s="639"/>
      <c r="C191" s="655">
        <v>0</v>
      </c>
      <c r="D191" s="649"/>
      <c r="E191" s="655" t="s">
        <v>101</v>
      </c>
      <c r="F191" s="649"/>
      <c r="G191" s="655" t="s">
        <v>101</v>
      </c>
      <c r="H191" s="649"/>
      <c r="I191" s="655" t="s">
        <v>101</v>
      </c>
      <c r="J191" s="649"/>
      <c r="K191" s="660" t="s">
        <v>101</v>
      </c>
      <c r="L191" s="649"/>
      <c r="M191" s="655" t="s">
        <v>101</v>
      </c>
      <c r="N191" s="649"/>
      <c r="O191" s="655" t="s">
        <v>101</v>
      </c>
      <c r="P191" s="649"/>
      <c r="Q191" s="655" t="s">
        <v>101</v>
      </c>
      <c r="R191" s="649"/>
      <c r="S191" s="655" t="s">
        <v>101</v>
      </c>
      <c r="T191" s="649"/>
      <c r="U191" s="655" t="s">
        <v>101</v>
      </c>
      <c r="V191" s="649"/>
      <c r="W191" s="655" t="s">
        <v>101</v>
      </c>
      <c r="X191" s="649"/>
      <c r="Y191" s="655" t="s">
        <v>101</v>
      </c>
      <c r="Z191" s="649"/>
      <c r="AA191" s="655" t="s">
        <v>101</v>
      </c>
      <c r="AB191" s="649"/>
      <c r="AC191" s="1"/>
      <c r="AD191" s="1"/>
      <c r="AE191" s="1"/>
      <c r="AF191" s="1"/>
      <c r="AG191" s="1"/>
      <c r="AH191" s="1"/>
      <c r="AI191" s="1"/>
      <c r="AJ191" s="1"/>
      <c r="AK191" s="1"/>
      <c r="AL191" s="1"/>
      <c r="AM191" s="1"/>
      <c r="AN191" s="1"/>
      <c r="AO191" s="1"/>
      <c r="AP191" s="1"/>
      <c r="AQ191" s="1"/>
      <c r="AR191" s="1"/>
    </row>
    <row r="192" spans="1:44" ht="14.4" customHeight="1">
      <c r="A192" s="638"/>
      <c r="B192" s="639"/>
      <c r="C192" s="667">
        <v>0</v>
      </c>
      <c r="D192" s="662"/>
      <c r="E192" s="668" t="s">
        <v>101</v>
      </c>
      <c r="F192" s="669"/>
      <c r="G192" s="668" t="s">
        <v>101</v>
      </c>
      <c r="H192" s="669"/>
      <c r="I192" s="668" t="s">
        <v>101</v>
      </c>
      <c r="J192" s="669"/>
      <c r="K192" s="668" t="s">
        <v>101</v>
      </c>
      <c r="L192" s="669"/>
      <c r="M192" s="668" t="s">
        <v>101</v>
      </c>
      <c r="N192" s="669"/>
      <c r="O192" s="668" t="s">
        <v>101</v>
      </c>
      <c r="P192" s="669"/>
      <c r="Q192" s="668" t="s">
        <v>101</v>
      </c>
      <c r="R192" s="669"/>
      <c r="S192" s="668" t="s">
        <v>101</v>
      </c>
      <c r="T192" s="669"/>
      <c r="U192" s="668" t="s">
        <v>101</v>
      </c>
      <c r="V192" s="669"/>
      <c r="W192" s="668" t="s">
        <v>101</v>
      </c>
      <c r="X192" s="669"/>
      <c r="Y192" s="668" t="s">
        <v>101</v>
      </c>
      <c r="Z192" s="669"/>
      <c r="AA192" s="668" t="s">
        <v>101</v>
      </c>
      <c r="AB192" s="669"/>
      <c r="AC192" s="1"/>
      <c r="AD192" s="1"/>
      <c r="AE192" s="1"/>
      <c r="AF192" s="1"/>
      <c r="AG192" s="1"/>
      <c r="AH192" s="1"/>
      <c r="AI192" s="1"/>
      <c r="AJ192" s="1"/>
      <c r="AK192" s="1"/>
      <c r="AL192" s="1"/>
      <c r="AM192" s="1"/>
      <c r="AN192" s="1"/>
      <c r="AO192" s="1"/>
      <c r="AP192" s="1"/>
      <c r="AQ192" s="1"/>
      <c r="AR192" s="1"/>
    </row>
    <row r="193" spans="1:44" ht="14.4" customHeight="1">
      <c r="A193" s="708" t="s">
        <v>117</v>
      </c>
      <c r="B193" s="637"/>
      <c r="C193" s="672" t="s">
        <v>118</v>
      </c>
      <c r="D193" s="673"/>
      <c r="E193" s="653" t="s">
        <v>140</v>
      </c>
      <c r="F193" s="652"/>
      <c r="G193" s="656" t="s">
        <v>101</v>
      </c>
      <c r="H193" s="652"/>
      <c r="I193" s="656" t="s">
        <v>101</v>
      </c>
      <c r="J193" s="652"/>
      <c r="K193" s="656" t="s">
        <v>140</v>
      </c>
      <c r="L193" s="652"/>
      <c r="M193" s="656" t="s">
        <v>101</v>
      </c>
      <c r="N193" s="652"/>
      <c r="O193" s="656" t="s">
        <v>101</v>
      </c>
      <c r="P193" s="652"/>
      <c r="Q193" s="656" t="s">
        <v>141</v>
      </c>
      <c r="R193" s="652"/>
      <c r="S193" s="656" t="s">
        <v>101</v>
      </c>
      <c r="T193" s="652"/>
      <c r="U193" s="656" t="s">
        <v>101</v>
      </c>
      <c r="V193" s="652"/>
      <c r="W193" s="656" t="s">
        <v>141</v>
      </c>
      <c r="X193" s="652"/>
      <c r="Y193" s="656" t="s">
        <v>101</v>
      </c>
      <c r="Z193" s="652"/>
      <c r="AA193" s="656" t="s">
        <v>101</v>
      </c>
      <c r="AB193" s="652"/>
      <c r="AC193" s="151"/>
      <c r="AD193" s="1"/>
      <c r="AE193" s="1"/>
      <c r="AF193" s="1"/>
      <c r="AG193" s="1"/>
      <c r="AH193" s="1"/>
      <c r="AI193" s="1"/>
      <c r="AJ193" s="1"/>
      <c r="AK193" s="1"/>
      <c r="AL193" s="1"/>
      <c r="AM193" s="1"/>
      <c r="AN193" s="1"/>
      <c r="AO193" s="1"/>
      <c r="AP193" s="1"/>
      <c r="AQ193" s="1"/>
      <c r="AR193" s="1"/>
    </row>
    <row r="194" spans="1:44" ht="14.4" customHeight="1">
      <c r="A194" s="638"/>
      <c r="B194" s="639"/>
      <c r="C194" s="655" t="s">
        <v>120</v>
      </c>
      <c r="D194" s="649"/>
      <c r="E194" s="658" t="s">
        <v>142</v>
      </c>
      <c r="F194" s="649"/>
      <c r="G194" s="655" t="s">
        <v>101</v>
      </c>
      <c r="H194" s="649"/>
      <c r="I194" s="655" t="s">
        <v>101</v>
      </c>
      <c r="J194" s="649"/>
      <c r="K194" s="660" t="s">
        <v>142</v>
      </c>
      <c r="L194" s="649"/>
      <c r="M194" s="655" t="s">
        <v>101</v>
      </c>
      <c r="N194" s="649"/>
      <c r="O194" s="655" t="s">
        <v>101</v>
      </c>
      <c r="P194" s="649"/>
      <c r="Q194" s="655" t="s">
        <v>143</v>
      </c>
      <c r="R194" s="649"/>
      <c r="S194" s="655" t="s">
        <v>101</v>
      </c>
      <c r="T194" s="649"/>
      <c r="U194" s="658" t="s">
        <v>101</v>
      </c>
      <c r="V194" s="649"/>
      <c r="W194" s="655" t="s">
        <v>143</v>
      </c>
      <c r="X194" s="649"/>
      <c r="Y194" s="655" t="s">
        <v>101</v>
      </c>
      <c r="Z194" s="649"/>
      <c r="AA194" s="655" t="s">
        <v>101</v>
      </c>
      <c r="AB194" s="649"/>
      <c r="AC194" s="151"/>
      <c r="AD194" s="1"/>
      <c r="AE194" s="1"/>
      <c r="AF194" s="1"/>
      <c r="AG194" s="1"/>
      <c r="AH194" s="1"/>
      <c r="AI194" s="1"/>
      <c r="AJ194" s="1"/>
      <c r="AK194" s="1"/>
      <c r="AL194" s="1"/>
      <c r="AM194" s="1"/>
      <c r="AN194" s="1"/>
      <c r="AO194" s="1"/>
      <c r="AP194" s="1"/>
      <c r="AQ194" s="1"/>
      <c r="AR194" s="1"/>
    </row>
    <row r="195" spans="1:44" ht="14.4" customHeight="1">
      <c r="A195" s="638"/>
      <c r="B195" s="639"/>
      <c r="C195" s="655" t="s">
        <v>122</v>
      </c>
      <c r="D195" s="649"/>
      <c r="E195" s="658" t="s">
        <v>144</v>
      </c>
      <c r="F195" s="649"/>
      <c r="G195" s="655" t="s">
        <v>101</v>
      </c>
      <c r="H195" s="649"/>
      <c r="I195" s="655" t="s">
        <v>101</v>
      </c>
      <c r="J195" s="649"/>
      <c r="K195" s="660" t="s">
        <v>144</v>
      </c>
      <c r="L195" s="649"/>
      <c r="M195" s="655" t="s">
        <v>101</v>
      </c>
      <c r="N195" s="649"/>
      <c r="O195" s="655" t="s">
        <v>101</v>
      </c>
      <c r="P195" s="649"/>
      <c r="Q195" s="655" t="s">
        <v>145</v>
      </c>
      <c r="R195" s="649"/>
      <c r="S195" s="655" t="s">
        <v>101</v>
      </c>
      <c r="T195" s="649"/>
      <c r="U195" s="658" t="s">
        <v>101</v>
      </c>
      <c r="V195" s="649"/>
      <c r="W195" s="655" t="s">
        <v>145</v>
      </c>
      <c r="X195" s="649"/>
      <c r="Y195" s="655" t="s">
        <v>101</v>
      </c>
      <c r="Z195" s="649"/>
      <c r="AA195" s="655" t="s">
        <v>101</v>
      </c>
      <c r="AB195" s="649"/>
      <c r="AC195" s="151"/>
      <c r="AD195" s="1"/>
      <c r="AE195" s="1"/>
      <c r="AF195" s="1"/>
      <c r="AG195" s="1"/>
      <c r="AH195" s="1"/>
      <c r="AI195" s="1"/>
      <c r="AJ195" s="1"/>
      <c r="AK195" s="1"/>
      <c r="AL195" s="1"/>
      <c r="AM195" s="1"/>
      <c r="AN195" s="1"/>
      <c r="AO195" s="1"/>
      <c r="AP195" s="1"/>
      <c r="AQ195" s="1"/>
      <c r="AR195" s="1"/>
    </row>
    <row r="196" spans="1:44" ht="14.4" customHeight="1">
      <c r="A196" s="638"/>
      <c r="B196" s="639"/>
      <c r="C196" s="655" t="s">
        <v>124</v>
      </c>
      <c r="D196" s="649"/>
      <c r="E196" s="658" t="s">
        <v>146</v>
      </c>
      <c r="F196" s="649"/>
      <c r="G196" s="655" t="s">
        <v>101</v>
      </c>
      <c r="H196" s="649"/>
      <c r="I196" s="655" t="s">
        <v>101</v>
      </c>
      <c r="J196" s="649"/>
      <c r="K196" s="655" t="s">
        <v>146</v>
      </c>
      <c r="L196" s="649"/>
      <c r="M196" s="655" t="s">
        <v>101</v>
      </c>
      <c r="N196" s="649"/>
      <c r="O196" s="655" t="s">
        <v>101</v>
      </c>
      <c r="P196" s="649"/>
      <c r="Q196" s="655" t="s">
        <v>147</v>
      </c>
      <c r="R196" s="649"/>
      <c r="S196" s="655" t="s">
        <v>101</v>
      </c>
      <c r="T196" s="649"/>
      <c r="U196" s="658" t="s">
        <v>101</v>
      </c>
      <c r="V196" s="649"/>
      <c r="W196" s="655" t="s">
        <v>147</v>
      </c>
      <c r="X196" s="649"/>
      <c r="Y196" s="655" t="s">
        <v>101</v>
      </c>
      <c r="Z196" s="649"/>
      <c r="AA196" s="655" t="s">
        <v>101</v>
      </c>
      <c r="AB196" s="649"/>
      <c r="AC196" s="151"/>
      <c r="AD196" s="1"/>
      <c r="AE196" s="1"/>
      <c r="AF196" s="1"/>
      <c r="AG196" s="1"/>
      <c r="AH196" s="1"/>
      <c r="AI196" s="1"/>
      <c r="AJ196" s="1"/>
      <c r="AK196" s="1"/>
      <c r="AL196" s="1"/>
      <c r="AM196" s="1"/>
      <c r="AN196" s="1"/>
      <c r="AO196" s="1"/>
      <c r="AP196" s="1"/>
      <c r="AQ196" s="1"/>
      <c r="AR196" s="1"/>
    </row>
    <row r="197" spans="1:44" ht="14.4" customHeight="1">
      <c r="A197" s="638"/>
      <c r="B197" s="639"/>
      <c r="C197" s="655"/>
      <c r="D197" s="649"/>
      <c r="E197" s="658"/>
      <c r="F197" s="649"/>
      <c r="G197" s="672"/>
      <c r="H197" s="673"/>
      <c r="I197" s="672"/>
      <c r="J197" s="673"/>
      <c r="K197" s="672"/>
      <c r="L197" s="673"/>
      <c r="M197" s="672"/>
      <c r="N197" s="673"/>
      <c r="O197" s="672"/>
      <c r="P197" s="673"/>
      <c r="Q197" s="672"/>
      <c r="R197" s="673"/>
      <c r="S197" s="672"/>
      <c r="T197" s="673"/>
      <c r="U197" s="658"/>
      <c r="V197" s="649"/>
      <c r="W197" s="672"/>
      <c r="X197" s="673"/>
      <c r="Y197" s="672"/>
      <c r="Z197" s="673"/>
      <c r="AA197" s="672"/>
      <c r="AB197" s="673"/>
      <c r="AC197" s="151"/>
      <c r="AD197" s="1"/>
      <c r="AE197" s="1"/>
      <c r="AF197" s="1"/>
      <c r="AG197" s="1"/>
      <c r="AH197" s="1"/>
      <c r="AI197" s="1"/>
      <c r="AJ197" s="1"/>
      <c r="AK197" s="1"/>
      <c r="AL197" s="1"/>
      <c r="AM197" s="1"/>
      <c r="AN197" s="1"/>
      <c r="AO197" s="1"/>
      <c r="AP197" s="1"/>
      <c r="AQ197" s="1"/>
      <c r="AR197" s="1"/>
    </row>
    <row r="198" spans="1:44" ht="14.4" customHeight="1">
      <c r="A198" s="638"/>
      <c r="B198" s="639"/>
      <c r="C198" s="667"/>
      <c r="D198" s="662"/>
      <c r="E198" s="694"/>
      <c r="F198" s="662"/>
      <c r="G198" s="667"/>
      <c r="H198" s="662"/>
      <c r="I198" s="667"/>
      <c r="J198" s="662"/>
      <c r="K198" s="667"/>
      <c r="L198" s="662"/>
      <c r="M198" s="667"/>
      <c r="N198" s="662"/>
      <c r="O198" s="667"/>
      <c r="P198" s="662"/>
      <c r="Q198" s="667"/>
      <c r="R198" s="662"/>
      <c r="S198" s="667"/>
      <c r="T198" s="662"/>
      <c r="U198" s="694"/>
      <c r="V198" s="662"/>
      <c r="W198" s="667"/>
      <c r="X198" s="662"/>
      <c r="Y198" s="667"/>
      <c r="Z198" s="662"/>
      <c r="AA198" s="667"/>
      <c r="AB198" s="662"/>
      <c r="AC198" s="151"/>
      <c r="AD198" s="1"/>
      <c r="AE198" s="1"/>
      <c r="AF198" s="1"/>
      <c r="AG198" s="1"/>
      <c r="AH198" s="1"/>
      <c r="AI198" s="1"/>
      <c r="AJ198" s="1"/>
      <c r="AK198" s="1"/>
      <c r="AL198" s="1"/>
      <c r="AM198" s="1"/>
      <c r="AN198" s="1"/>
      <c r="AO198" s="1"/>
      <c r="AP198" s="1"/>
      <c r="AQ198" s="1"/>
      <c r="AR198" s="1"/>
    </row>
    <row r="199" spans="1:44" ht="14.4" customHeight="1">
      <c r="A199" s="1"/>
      <c r="B199" s="1"/>
      <c r="C199" s="13"/>
      <c r="D199" s="13"/>
      <c r="E199" s="1"/>
      <c r="F199" s="1"/>
      <c r="G199" s="1"/>
      <c r="H199" s="1"/>
      <c r="I199" s="13"/>
      <c r="J199" s="13"/>
      <c r="K199" s="1"/>
      <c r="L199" s="1"/>
      <c r="M199" s="13"/>
      <c r="N199" s="13"/>
      <c r="O199" s="13"/>
      <c r="P199" s="13"/>
      <c r="Q199" s="13"/>
      <c r="R199" s="13"/>
      <c r="S199" s="13"/>
      <c r="T199" s="13"/>
      <c r="U199" s="13"/>
      <c r="V199" s="13"/>
      <c r="W199" s="13"/>
      <c r="X199" s="13"/>
      <c r="Y199" s="13"/>
      <c r="Z199" s="13"/>
      <c r="AA199" s="13"/>
      <c r="AB199" s="13"/>
      <c r="AC199" s="1"/>
      <c r="AD199" s="1"/>
      <c r="AE199" s="1"/>
      <c r="AF199" s="1"/>
      <c r="AG199" s="1"/>
      <c r="AH199" s="1"/>
      <c r="AI199" s="1"/>
      <c r="AJ199" s="1"/>
      <c r="AK199" s="1"/>
      <c r="AL199" s="1"/>
      <c r="AM199" s="1"/>
      <c r="AN199" s="1"/>
      <c r="AO199" s="1"/>
      <c r="AP199" s="1"/>
      <c r="AQ199" s="1"/>
      <c r="AR199" s="1"/>
    </row>
    <row r="200" spans="1:44"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row>
    <row r="201" spans="1:44"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row>
    <row r="202" spans="1:44"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row>
    <row r="203" spans="1:44"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spans="1:44"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spans="1:44"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spans="1:44"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spans="1:44"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spans="1:44"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spans="1:44"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spans="1:44"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spans="1:44"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spans="1:44"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spans="1:44"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spans="1:44"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spans="1:44"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spans="1:44"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spans="1:44"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spans="1:44"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spans="1:44"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spans="1:44"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spans="1:44"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spans="1:44"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spans="1:44"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spans="1:44"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spans="1:44"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spans="1:44"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spans="1:44"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spans="1:44"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spans="1:44"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spans="1:44"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spans="1:44"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spans="1:44"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spans="1:44"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spans="1:44"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spans="1:44"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spans="1:44"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spans="1:44"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spans="1:44"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spans="1:44"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spans="1:44"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spans="1:44"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spans="1:44"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spans="1:44"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spans="1:44"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spans="1:44"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row>
    <row r="246" spans="1:44"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row>
    <row r="247" spans="1:44"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row>
    <row r="248" spans="1:44"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row>
    <row r="249" spans="1:44"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row>
    <row r="250" spans="1:44"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row>
    <row r="251" spans="1:44"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row>
    <row r="252" spans="1:44"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row>
    <row r="253" spans="1:44"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row>
    <row r="254" spans="1:44"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spans="1:44"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spans="1:44"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spans="1:44"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spans="1:44"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spans="1:44"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spans="1:44"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spans="1:44"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spans="1:44"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spans="1:44"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spans="1:44" ht="14.4"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spans="1:44" ht="14.4"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spans="1:44" ht="14.4"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spans="1:44" ht="14.4"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spans="1:44" ht="14.4"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spans="1:44" ht="14.4"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spans="1:44" ht="14.4"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spans="1:44" ht="14.4"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spans="1:44" ht="14.4"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spans="1:44" ht="14.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spans="1:44" ht="14.4"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spans="1:44" ht="14.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spans="1:44" ht="14.4"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spans="1:44" ht="14.4"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spans="1:44" ht="14.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spans="1:44" ht="14.4"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spans="1:44" ht="14.4"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spans="1:44" ht="14.4"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spans="1:44" ht="14.4"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spans="1:44" ht="14.4"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spans="1:44" ht="14.4"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spans="1:44" ht="14.4"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spans="1:44" ht="14.4"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spans="1:44" ht="14.4"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spans="1:44" ht="14.4"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spans="1:44" ht="14.4"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spans="1:44" ht="14.4"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spans="1:44" ht="14.4"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spans="1:44" ht="14.4"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spans="1:44" ht="14.4"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spans="1:44" ht="14.4"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spans="1:44" ht="14.4"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spans="1:44" ht="14.4"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spans="1:44" ht="14.4"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spans="1:44" ht="14.4"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spans="1:44" ht="14.4"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spans="1:44" ht="14.4"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spans="1:44" ht="14.4"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spans="1:44" ht="14.4"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spans="1:44" ht="14.4"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spans="1:44" ht="14.4"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spans="1:44" ht="14.4"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spans="1:44" ht="14.4"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spans="1:44" ht="14.4"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spans="1:44" ht="14.4"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spans="1:44" ht="14.4"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spans="1:44" ht="14.4"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spans="1:44" ht="14.4"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spans="1:44" ht="14.4"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spans="1:44" ht="14.4"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spans="1:44" ht="14.4"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spans="1:44" ht="14.4"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spans="1:44" ht="14.4"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spans="1:44" ht="14.4"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spans="1:44" ht="14.4"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spans="1:44" ht="14.4"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spans="1:44" ht="14.4"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spans="1:44" ht="14.4"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spans="1:44" ht="14.4"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spans="1:44" ht="14.4"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spans="1:44" ht="14.4"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spans="1:44" ht="14.4"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spans="1:44" ht="14.4"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spans="1:44" ht="14.4"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spans="1:44" ht="14.4"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spans="1:44" ht="14.4"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spans="1:44" ht="14.4"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spans="1:44" ht="14.4"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spans="1:44" ht="14.4"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spans="1:44" ht="14.4"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spans="1:44" ht="14.4"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spans="1:44" ht="14.4"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spans="1:44" ht="14.4"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spans="1:44" ht="14.4"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spans="1:44" ht="14.4"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spans="1:44" ht="14.4"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spans="1:44" ht="14.4"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spans="1:44" ht="14.4"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spans="1:44" ht="14.4"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spans="1:44" ht="14.4"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spans="1:44" ht="14.4"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spans="1:44" ht="14.4"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spans="1:44" ht="14.4"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spans="1:44" ht="14.4"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spans="1:44" ht="14.4"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spans="1:44" ht="14.4"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spans="1:44" ht="14.4"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spans="1:44" ht="14.4"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spans="1:44" ht="14.4"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spans="1:44" ht="14.4"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spans="1:44" ht="14.4"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spans="1:44" ht="14.4"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spans="1:44" ht="14.4"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spans="1:44" ht="14.4"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spans="1:44" ht="14.4"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spans="1:44" ht="14.4"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spans="1:44" ht="14.4"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spans="1:44" ht="14.4"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spans="1:44" ht="14.4"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spans="1:44" ht="14.4"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spans="1:44" ht="14.4"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spans="1:44" ht="14.4"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spans="1:44" ht="14.4"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spans="1:44" ht="14.4"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spans="1:44" ht="14.4"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spans="1:44" ht="14.4"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row>
    <row r="370" spans="1:44" ht="14.4"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spans="1:44" ht="14.4"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spans="1:44" ht="14.4"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spans="1:44" ht="14.4"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spans="1:44" ht="14.4"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spans="1:44" ht="14.4"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spans="1:44" ht="14.4"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spans="1:44" ht="14.4"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spans="1:44" ht="14.4"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spans="1:44" ht="14.4"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spans="1:44" ht="14.4"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spans="1:44" ht="14.4"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spans="1:44" ht="14.4"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spans="1:44" ht="14.4"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spans="1:44" ht="14.4"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row>
    <row r="385" spans="1:44" ht="14.4"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row>
    <row r="386" spans="1:44" ht="14.4"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spans="1:44" ht="14.4"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spans="1:44" ht="14.4"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spans="1:44" ht="14.4"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spans="1:44" ht="14.4"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spans="1:44" ht="14.4"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spans="1:44" ht="14.4"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spans="1:44" ht="14.4"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spans="1:44" ht="14.4"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spans="1:44" ht="14.4"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spans="1:44" ht="14.4"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spans="1:44" ht="14.4"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spans="1:44" ht="14.4"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sheetData>
  <mergeCells count="1382">
    <mergeCell ref="W80:X80"/>
    <mergeCell ref="Y167:Z167"/>
    <mergeCell ref="Y142:Z142"/>
    <mergeCell ref="I125:J125"/>
    <mergeCell ref="S185:T185"/>
    <mergeCell ref="Y169:Z169"/>
    <mergeCell ref="AA196:AB196"/>
    <mergeCell ref="C52:D52"/>
    <mergeCell ref="AA198:AB198"/>
    <mergeCell ref="A40:AB40"/>
    <mergeCell ref="G62:H62"/>
    <mergeCell ref="Q122:R122"/>
    <mergeCell ref="I127:J127"/>
    <mergeCell ref="K43:L43"/>
    <mergeCell ref="M105:N105"/>
    <mergeCell ref="O134:P134"/>
    <mergeCell ref="O51:P51"/>
    <mergeCell ref="U58:V58"/>
    <mergeCell ref="C110:D110"/>
    <mergeCell ref="E16:F16"/>
    <mergeCell ref="Y195:Z195"/>
    <mergeCell ref="E174:F174"/>
    <mergeCell ref="Y66:Z66"/>
    <mergeCell ref="A34:B34"/>
    <mergeCell ref="Y197:Z197"/>
    <mergeCell ref="K183:L183"/>
    <mergeCell ref="Q106:R106"/>
    <mergeCell ref="Q133:R133"/>
    <mergeCell ref="Y68:Z68"/>
    <mergeCell ref="AA130:AB130"/>
    <mergeCell ref="A36:B36"/>
    <mergeCell ref="D80:D81"/>
    <mergeCell ref="S43:T43"/>
    <mergeCell ref="Y135:Z135"/>
    <mergeCell ref="E109:F109"/>
    <mergeCell ref="E111:F111"/>
    <mergeCell ref="Y193:Z193"/>
    <mergeCell ref="C63:D63"/>
    <mergeCell ref="W198:X198"/>
    <mergeCell ref="S196:T196"/>
    <mergeCell ref="E190:F190"/>
    <mergeCell ref="Y119:Z119"/>
    <mergeCell ref="G133:H133"/>
    <mergeCell ref="O61:P61"/>
    <mergeCell ref="G135:H135"/>
    <mergeCell ref="AA183:AB183"/>
    <mergeCell ref="I191:J191"/>
    <mergeCell ref="I51:J51"/>
    <mergeCell ref="E72:F72"/>
    <mergeCell ref="AA185:AB185"/>
    <mergeCell ref="M171:N171"/>
    <mergeCell ref="Y122:Z122"/>
    <mergeCell ref="I192:J192"/>
    <mergeCell ref="M173:N173"/>
    <mergeCell ref="E126:F126"/>
    <mergeCell ref="W74:X74"/>
    <mergeCell ref="K110:L110"/>
    <mergeCell ref="O141:P141"/>
    <mergeCell ref="G190:H190"/>
    <mergeCell ref="M174:N174"/>
    <mergeCell ref="Y132:Z132"/>
    <mergeCell ref="Q51:R51"/>
    <mergeCell ref="AA187:AB187"/>
    <mergeCell ref="AA189:AB189"/>
    <mergeCell ref="O187:P187"/>
    <mergeCell ref="K52:L52"/>
    <mergeCell ref="U171:V171"/>
    <mergeCell ref="M124:N124"/>
    <mergeCell ref="Y179:Z179"/>
    <mergeCell ref="Y70:Z70"/>
    <mergeCell ref="S198:T198"/>
    <mergeCell ref="K54:L54"/>
    <mergeCell ref="C128:D128"/>
    <mergeCell ref="S170:T170"/>
    <mergeCell ref="Q135:R135"/>
    <mergeCell ref="E69:F69"/>
    <mergeCell ref="C129:D129"/>
    <mergeCell ref="O59:P59"/>
    <mergeCell ref="C55:D55"/>
    <mergeCell ref="E193:F193"/>
    <mergeCell ref="K80:L80"/>
    <mergeCell ref="M142:N142"/>
    <mergeCell ref="K79:L79"/>
    <mergeCell ref="C109:D109"/>
    <mergeCell ref="U70:V70"/>
    <mergeCell ref="I188:J188"/>
    <mergeCell ref="S190:T190"/>
    <mergeCell ref="O180:P180"/>
    <mergeCell ref="S107:T107"/>
    <mergeCell ref="C191:D191"/>
    <mergeCell ref="E71:F71"/>
    <mergeCell ref="C184:D184"/>
    <mergeCell ref="E79:F79"/>
    <mergeCell ref="E73:F73"/>
    <mergeCell ref="M60:N60"/>
    <mergeCell ref="O63:P63"/>
    <mergeCell ref="Q197:R197"/>
    <mergeCell ref="O124:P124"/>
    <mergeCell ref="Q180:R180"/>
    <mergeCell ref="Q188:R188"/>
    <mergeCell ref="G168:H168"/>
    <mergeCell ref="K172:L172"/>
    <mergeCell ref="A105:B105"/>
    <mergeCell ref="Q170:R170"/>
    <mergeCell ref="S65:T65"/>
    <mergeCell ref="U121:V121"/>
    <mergeCell ref="A100:B100"/>
    <mergeCell ref="Q172:R172"/>
    <mergeCell ref="U129:V129"/>
    <mergeCell ref="M66:N66"/>
    <mergeCell ref="U123:V123"/>
    <mergeCell ref="S50:T50"/>
    <mergeCell ref="C59:D59"/>
    <mergeCell ref="G141:H141"/>
    <mergeCell ref="G116:H116"/>
    <mergeCell ref="G118:H118"/>
    <mergeCell ref="Q167:R167"/>
    <mergeCell ref="C115:D115"/>
    <mergeCell ref="S142:T142"/>
    <mergeCell ref="G132:H132"/>
    <mergeCell ref="O79:P79"/>
    <mergeCell ref="A69:B74"/>
    <mergeCell ref="I70:J70"/>
    <mergeCell ref="K134:L134"/>
    <mergeCell ref="C117:D117"/>
    <mergeCell ref="A162:B162"/>
    <mergeCell ref="Q74:R74"/>
    <mergeCell ref="A62:B68"/>
    <mergeCell ref="S64:T64"/>
    <mergeCell ref="G66:H66"/>
    <mergeCell ref="Q63:R63"/>
    <mergeCell ref="K120:L120"/>
    <mergeCell ref="O71:P71"/>
    <mergeCell ref="I54:J54"/>
    <mergeCell ref="A193:B198"/>
    <mergeCell ref="M197:N197"/>
    <mergeCell ref="K124:L124"/>
    <mergeCell ref="Y131:Z131"/>
    <mergeCell ref="M68:N68"/>
    <mergeCell ref="O130:P130"/>
    <mergeCell ref="W187:X187"/>
    <mergeCell ref="M188:N188"/>
    <mergeCell ref="M67:N67"/>
    <mergeCell ref="E141:F141"/>
    <mergeCell ref="E135:F135"/>
    <mergeCell ref="O132:P132"/>
    <mergeCell ref="W189:X189"/>
    <mergeCell ref="E107:F107"/>
    <mergeCell ref="M69:N69"/>
    <mergeCell ref="O125:P125"/>
    <mergeCell ref="G172:H172"/>
    <mergeCell ref="A79:A81"/>
    <mergeCell ref="O127:P127"/>
    <mergeCell ref="W196:X196"/>
    <mergeCell ref="S197:T197"/>
    <mergeCell ref="S188:T188"/>
    <mergeCell ref="K114:L114"/>
    <mergeCell ref="M170:N170"/>
    <mergeCell ref="A140:AB140"/>
    <mergeCell ref="Q121:R121"/>
    <mergeCell ref="I195:J195"/>
    <mergeCell ref="M172:N172"/>
    <mergeCell ref="I68:J68"/>
    <mergeCell ref="I190:J190"/>
    <mergeCell ref="K130:L130"/>
    <mergeCell ref="AA174:AB174"/>
    <mergeCell ref="AA195:AB195"/>
    <mergeCell ref="AA65:AB65"/>
    <mergeCell ref="U134:V134"/>
    <mergeCell ref="A32:B32"/>
    <mergeCell ref="C61:D61"/>
    <mergeCell ref="U167:V167"/>
    <mergeCell ref="U142:V142"/>
    <mergeCell ref="S80:T80"/>
    <mergeCell ref="U55:V55"/>
    <mergeCell ref="E125:F125"/>
    <mergeCell ref="W111:X111"/>
    <mergeCell ref="U169:V169"/>
    <mergeCell ref="AA62:AB62"/>
    <mergeCell ref="M122:N122"/>
    <mergeCell ref="O178:P178"/>
    <mergeCell ref="G43:H43"/>
    <mergeCell ref="I105:J105"/>
    <mergeCell ref="O186:P186"/>
    <mergeCell ref="Y177:Z177"/>
    <mergeCell ref="Y172:Z172"/>
    <mergeCell ref="U66:V66"/>
    <mergeCell ref="C118:D118"/>
    <mergeCell ref="C175:D175"/>
    <mergeCell ref="Y112:Z112"/>
    <mergeCell ref="C185:D185"/>
    <mergeCell ref="AA128:AB128"/>
    <mergeCell ref="Y65:Z65"/>
    <mergeCell ref="G79:H79"/>
    <mergeCell ref="G73:H73"/>
    <mergeCell ref="Q70:R70"/>
    <mergeCell ref="Y57:Z57"/>
    <mergeCell ref="AA129:AB129"/>
    <mergeCell ref="Y17:Z17"/>
    <mergeCell ref="M133:N133"/>
    <mergeCell ref="A103:AB103"/>
    <mergeCell ref="U68:V68"/>
    <mergeCell ref="O198:P198"/>
    <mergeCell ref="Y46:Z46"/>
    <mergeCell ref="M135:N135"/>
    <mergeCell ref="Y48:Z48"/>
    <mergeCell ref="S178:T178"/>
    <mergeCell ref="AA106:AB106"/>
    <mergeCell ref="U119:V119"/>
    <mergeCell ref="A98:B98"/>
    <mergeCell ref="S173:T173"/>
    <mergeCell ref="W183:X183"/>
    <mergeCell ref="E51:F51"/>
    <mergeCell ref="W185:X185"/>
    <mergeCell ref="I171:J171"/>
    <mergeCell ref="U122:V122"/>
    <mergeCell ref="Y59:Z59"/>
    <mergeCell ref="O43:P43"/>
    <mergeCell ref="K115:L115"/>
    <mergeCell ref="I173:J173"/>
    <mergeCell ref="I52:J52"/>
    <mergeCell ref="S74:T74"/>
    <mergeCell ref="G110:H110"/>
    <mergeCell ref="I44:J44"/>
    <mergeCell ref="M179:N179"/>
    <mergeCell ref="K141:L141"/>
    <mergeCell ref="K116:L116"/>
    <mergeCell ref="C190:D190"/>
    <mergeCell ref="U132:V132"/>
    <mergeCell ref="K118:L118"/>
    <mergeCell ref="K189:L189"/>
    <mergeCell ref="I116:J116"/>
    <mergeCell ref="I126:J126"/>
    <mergeCell ref="K188:L188"/>
    <mergeCell ref="C80:C81"/>
    <mergeCell ref="K182:L182"/>
    <mergeCell ref="U179:V179"/>
    <mergeCell ref="C133:D133"/>
    <mergeCell ref="C127:D127"/>
    <mergeCell ref="E191:F191"/>
    <mergeCell ref="G80:H80"/>
    <mergeCell ref="I142:J142"/>
    <mergeCell ref="U112:V112"/>
    <mergeCell ref="AA193:AB193"/>
    <mergeCell ref="E70:F70"/>
    <mergeCell ref="Q192:R192"/>
    <mergeCell ref="W176:X176"/>
    <mergeCell ref="O129:P129"/>
    <mergeCell ref="C119:D119"/>
    <mergeCell ref="W115:X115"/>
    <mergeCell ref="O189:P189"/>
    <mergeCell ref="M116:N116"/>
    <mergeCell ref="M126:N126"/>
    <mergeCell ref="O188:P188"/>
    <mergeCell ref="O182:P182"/>
    <mergeCell ref="E183:F183"/>
    <mergeCell ref="C111:D111"/>
    <mergeCell ref="W136:X136"/>
    <mergeCell ref="Y114:Z114"/>
    <mergeCell ref="AA176:AB176"/>
    <mergeCell ref="Y113:Z113"/>
    <mergeCell ref="Y129:Z129"/>
    <mergeCell ref="M46:N46"/>
    <mergeCell ref="I67:J67"/>
    <mergeCell ref="A124:B130"/>
    <mergeCell ref="K132:L132"/>
    <mergeCell ref="AA55:AB55"/>
    <mergeCell ref="K125:L125"/>
    <mergeCell ref="U185:V185"/>
    <mergeCell ref="AA169:AB169"/>
    <mergeCell ref="O106:P106"/>
    <mergeCell ref="U193:V193"/>
    <mergeCell ref="K127:L127"/>
    <mergeCell ref="M43:N43"/>
    <mergeCell ref="O105:P105"/>
    <mergeCell ref="Q134:R134"/>
    <mergeCell ref="AA44:AB44"/>
    <mergeCell ref="A44:B61"/>
    <mergeCell ref="O107:P107"/>
    <mergeCell ref="G181:H181"/>
    <mergeCell ref="Q55:R55"/>
    <mergeCell ref="S111:T111"/>
    <mergeCell ref="AA73:AB73"/>
    <mergeCell ref="G174:H174"/>
    <mergeCell ref="I122:J122"/>
    <mergeCell ref="K178:L178"/>
    <mergeCell ref="U175:V175"/>
    <mergeCell ref="Q123:R123"/>
    <mergeCell ref="E50:F50"/>
    <mergeCell ref="G115:H115"/>
    <mergeCell ref="E52:F52"/>
    <mergeCell ref="E44:F44"/>
    <mergeCell ref="I179:J179"/>
    <mergeCell ref="A42:B43"/>
    <mergeCell ref="AA197:AB197"/>
    <mergeCell ref="C43:D43"/>
    <mergeCell ref="E105:F105"/>
    <mergeCell ref="S112:T112"/>
    <mergeCell ref="K186:L186"/>
    <mergeCell ref="AA68:AB68"/>
    <mergeCell ref="S141:T141"/>
    <mergeCell ref="C67:D67"/>
    <mergeCell ref="M62:N62"/>
    <mergeCell ref="E136:F136"/>
    <mergeCell ref="U172:V172"/>
    <mergeCell ref="G44:H44"/>
    <mergeCell ref="Q66:R66"/>
    <mergeCell ref="AA126:AB126"/>
    <mergeCell ref="C69:D69"/>
    <mergeCell ref="I133:J133"/>
    <mergeCell ref="I108:J108"/>
    <mergeCell ref="Q68:R68"/>
    <mergeCell ref="U46:V46"/>
    <mergeCell ref="E127:F127"/>
    <mergeCell ref="O176:P176"/>
    <mergeCell ref="I135:J135"/>
    <mergeCell ref="B166:AB166"/>
    <mergeCell ref="K51:L51"/>
    <mergeCell ref="U48:V48"/>
    <mergeCell ref="G191:H191"/>
    <mergeCell ref="Y79:Z79"/>
    <mergeCell ref="W106:X106"/>
    <mergeCell ref="U43:V43"/>
    <mergeCell ref="W105:X105"/>
    <mergeCell ref="O173:P173"/>
    <mergeCell ref="Y170:Z170"/>
    <mergeCell ref="Q195:R195"/>
    <mergeCell ref="Y115:Z115"/>
    <mergeCell ref="Q189:R189"/>
    <mergeCell ref="O116:P116"/>
    <mergeCell ref="Y192:Z192"/>
    <mergeCell ref="AA182:AB182"/>
    <mergeCell ref="AA175:AB175"/>
    <mergeCell ref="AA177:AB177"/>
    <mergeCell ref="W195:X195"/>
    <mergeCell ref="S130:T130"/>
    <mergeCell ref="K174:L174"/>
    <mergeCell ref="M108:N108"/>
    <mergeCell ref="AA79:AB79"/>
    <mergeCell ref="S119:T119"/>
    <mergeCell ref="G176:H176"/>
    <mergeCell ref="U183:V183"/>
    <mergeCell ref="G57:H57"/>
    <mergeCell ref="G171:H171"/>
    <mergeCell ref="I121:J121"/>
    <mergeCell ref="AA63:AB63"/>
    <mergeCell ref="G58:H58"/>
    <mergeCell ref="AA178:AB178"/>
    <mergeCell ref="S131:T131"/>
    <mergeCell ref="AA171:AB171"/>
    <mergeCell ref="G65:H65"/>
    <mergeCell ref="B104:AB104"/>
    <mergeCell ref="U195:V195"/>
    <mergeCell ref="D142:D143"/>
    <mergeCell ref="E172:F172"/>
    <mergeCell ref="G60:H60"/>
    <mergeCell ref="Q57:R57"/>
    <mergeCell ref="S113:T113"/>
    <mergeCell ref="W73:X73"/>
    <mergeCell ref="C174:D174"/>
    <mergeCell ref="I59:J59"/>
    <mergeCell ref="O115:P115"/>
    <mergeCell ref="O179:P179"/>
    <mergeCell ref="E180:F180"/>
    <mergeCell ref="Y120:Z120"/>
    <mergeCell ref="G134:H134"/>
    <mergeCell ref="W178:X178"/>
    <mergeCell ref="I50:J50"/>
    <mergeCell ref="W57:X57"/>
    <mergeCell ref="O131:P131"/>
    <mergeCell ref="M58:N58"/>
    <mergeCell ref="Q187:R187"/>
    <mergeCell ref="W49:X49"/>
    <mergeCell ref="AA184:AB184"/>
    <mergeCell ref="K108:L108"/>
    <mergeCell ref="K187:L187"/>
    <mergeCell ref="I124:J124"/>
    <mergeCell ref="S115:T115"/>
    <mergeCell ref="K53:L53"/>
    <mergeCell ref="W51:X51"/>
    <mergeCell ref="K50:L50"/>
    <mergeCell ref="W65:X65"/>
    <mergeCell ref="Y123:Z123"/>
    <mergeCell ref="W50:X50"/>
    <mergeCell ref="M50:N50"/>
    <mergeCell ref="G59:H59"/>
    <mergeCell ref="E117:F117"/>
    <mergeCell ref="Y134:Z134"/>
    <mergeCell ref="G67:H67"/>
    <mergeCell ref="G61:H61"/>
    <mergeCell ref="I43:J43"/>
    <mergeCell ref="K105:L105"/>
    <mergeCell ref="Q186:R186"/>
    <mergeCell ref="W71:X71"/>
    <mergeCell ref="K107:L107"/>
    <mergeCell ref="C181:D181"/>
    <mergeCell ref="E182:F182"/>
    <mergeCell ref="S132:T132"/>
    <mergeCell ref="AA119:AB119"/>
    <mergeCell ref="Q80:R80"/>
    <mergeCell ref="U17:V17"/>
    <mergeCell ref="O113:P113"/>
    <mergeCell ref="G187:H187"/>
    <mergeCell ref="G180:H180"/>
    <mergeCell ref="M80:N80"/>
    <mergeCell ref="O142:P142"/>
    <mergeCell ref="G188:H188"/>
    <mergeCell ref="G182:H182"/>
    <mergeCell ref="O169:P169"/>
    <mergeCell ref="Y47:Z47"/>
    <mergeCell ref="S177:T177"/>
    <mergeCell ref="W128:X128"/>
    <mergeCell ref="C107:D107"/>
    <mergeCell ref="E142:F142"/>
    <mergeCell ref="U65:V65"/>
    <mergeCell ref="C79:D79"/>
    <mergeCell ref="C73:D73"/>
    <mergeCell ref="M70:N70"/>
    <mergeCell ref="E171:F171"/>
    <mergeCell ref="W129:X129"/>
    <mergeCell ref="W123:X123"/>
    <mergeCell ref="O58:P58"/>
    <mergeCell ref="M113:N113"/>
    <mergeCell ref="U170:V170"/>
    <mergeCell ref="U74:V74"/>
    <mergeCell ref="E188:F188"/>
    <mergeCell ref="C126:D126"/>
    <mergeCell ref="M123:N123"/>
    <mergeCell ref="O197:P197"/>
    <mergeCell ref="E173:F173"/>
    <mergeCell ref="O74:P74"/>
    <mergeCell ref="K180:L180"/>
    <mergeCell ref="W131:X131"/>
    <mergeCell ref="Y187:Z187"/>
    <mergeCell ref="A33:B33"/>
    <mergeCell ref="G114:H114"/>
    <mergeCell ref="I170:J170"/>
    <mergeCell ref="Y189:Z189"/>
    <mergeCell ref="E168:F168"/>
    <mergeCell ref="A35:B35"/>
    <mergeCell ref="I172:J172"/>
    <mergeCell ref="I46:J46"/>
    <mergeCell ref="E67:F67"/>
    <mergeCell ref="Y118:Z118"/>
    <mergeCell ref="U80:V80"/>
    <mergeCell ref="W167:X167"/>
    <mergeCell ref="W142:X142"/>
    <mergeCell ref="W55:X55"/>
    <mergeCell ref="G125:H125"/>
    <mergeCell ref="Q185:R185"/>
    <mergeCell ref="W169:X169"/>
    <mergeCell ref="K106:L106"/>
    <mergeCell ref="Q193:R193"/>
    <mergeCell ref="G127:H127"/>
    <mergeCell ref="M189:N189"/>
    <mergeCell ref="C53:D53"/>
    <mergeCell ref="C141:D141"/>
    <mergeCell ref="Q114:R114"/>
    <mergeCell ref="S53:T53"/>
    <mergeCell ref="W121:X121"/>
    <mergeCell ref="W197:X197"/>
    <mergeCell ref="AA17:AB17"/>
    <mergeCell ref="W68:X68"/>
    <mergeCell ref="A106:B123"/>
    <mergeCell ref="Y130:Z130"/>
    <mergeCell ref="Q198:R198"/>
    <mergeCell ref="AA48:AB48"/>
    <mergeCell ref="S122:T122"/>
    <mergeCell ref="C44:D44"/>
    <mergeCell ref="U186:V186"/>
    <mergeCell ref="E133:F133"/>
    <mergeCell ref="E108:F108"/>
    <mergeCell ref="Q46:R46"/>
    <mergeCell ref="K176:L176"/>
    <mergeCell ref="Y183:Z183"/>
    <mergeCell ref="G51:H51"/>
    <mergeCell ref="Q48:R48"/>
    <mergeCell ref="U177:V177"/>
    <mergeCell ref="Y185:Z185"/>
    <mergeCell ref="K57:L57"/>
    <mergeCell ref="C131:D131"/>
    <mergeCell ref="K171:L171"/>
    <mergeCell ref="S106:T106"/>
    <mergeCell ref="Q43:R43"/>
    <mergeCell ref="S105:T105"/>
    <mergeCell ref="E195:F195"/>
    <mergeCell ref="K197:L197"/>
    <mergeCell ref="K74:L74"/>
    <mergeCell ref="K68:L68"/>
    <mergeCell ref="M130:N130"/>
    <mergeCell ref="U187:V187"/>
    <mergeCell ref="M132:N132"/>
    <mergeCell ref="U189:V189"/>
    <mergeCell ref="G122:H122"/>
    <mergeCell ref="E46:F46"/>
    <mergeCell ref="Y198:Z198"/>
    <mergeCell ref="K70:L70"/>
    <mergeCell ref="E179:F179"/>
    <mergeCell ref="M134:N134"/>
    <mergeCell ref="E42:AB42"/>
    <mergeCell ref="AA122:AB122"/>
    <mergeCell ref="M167:N167"/>
    <mergeCell ref="Q112:R112"/>
    <mergeCell ref="W193:X193"/>
    <mergeCell ref="W168:X168"/>
    <mergeCell ref="S62:T62"/>
    <mergeCell ref="S176:T176"/>
    <mergeCell ref="K129:L129"/>
    <mergeCell ref="U120:V120"/>
    <mergeCell ref="S57:T57"/>
    <mergeCell ref="K131:L131"/>
    <mergeCell ref="I58:J58"/>
    <mergeCell ref="M187:N187"/>
    <mergeCell ref="W184:X184"/>
    <mergeCell ref="S49:T49"/>
    <mergeCell ref="G108:H108"/>
    <mergeCell ref="M195:N195"/>
    <mergeCell ref="U115:V115"/>
    <mergeCell ref="C182:D182"/>
    <mergeCell ref="W46:X46"/>
    <mergeCell ref="Y111:Z111"/>
    <mergeCell ref="W48:X48"/>
    <mergeCell ref="O122:P122"/>
    <mergeCell ref="Q178:R178"/>
    <mergeCell ref="Q64:R64"/>
    <mergeCell ref="S120:T120"/>
    <mergeCell ref="G130:H130"/>
    <mergeCell ref="M55:N55"/>
    <mergeCell ref="O117:P117"/>
    <mergeCell ref="W174:X174"/>
    <mergeCell ref="M48:N48"/>
    <mergeCell ref="Q17:R17"/>
    <mergeCell ref="W179:X179"/>
    <mergeCell ref="M190:N190"/>
    <mergeCell ref="G198:H198"/>
    <mergeCell ref="S110:T110"/>
    <mergeCell ref="I80:J80"/>
    <mergeCell ref="K142:L142"/>
    <mergeCell ref="K55:L55"/>
    <mergeCell ref="S70:T70"/>
    <mergeCell ref="O175:P175"/>
    <mergeCell ref="U47:V47"/>
    <mergeCell ref="E186:F186"/>
    <mergeCell ref="O177:P177"/>
    <mergeCell ref="S128:T128"/>
    <mergeCell ref="Q65:R65"/>
    <mergeCell ref="U192:V192"/>
    <mergeCell ref="S129:T129"/>
    <mergeCell ref="K66:L66"/>
    <mergeCell ref="S123:T123"/>
    <mergeCell ref="AA58:AB58"/>
    <mergeCell ref="E131:F131"/>
    <mergeCell ref="A165:AB165"/>
    <mergeCell ref="C54:D54"/>
    <mergeCell ref="S73:T73"/>
    <mergeCell ref="AA60:AB60"/>
    <mergeCell ref="O118:P118"/>
    <mergeCell ref="S69:T69"/>
    <mergeCell ref="U125:V125"/>
    <mergeCell ref="K136:L136"/>
    <mergeCell ref="U127:V127"/>
    <mergeCell ref="E57:F57"/>
    <mergeCell ref="O47:P47"/>
    <mergeCell ref="S172:T172"/>
    <mergeCell ref="S55:T55"/>
    <mergeCell ref="A96:B96"/>
    <mergeCell ref="C125:D125"/>
    <mergeCell ref="G106:H106"/>
    <mergeCell ref="G105:H105"/>
    <mergeCell ref="I49:J49"/>
    <mergeCell ref="G107:H107"/>
    <mergeCell ref="S66:T66"/>
    <mergeCell ref="Y109:Z109"/>
    <mergeCell ref="S68:T68"/>
    <mergeCell ref="U130:V130"/>
    <mergeCell ref="AA72:AB72"/>
    <mergeCell ref="AA54:AB54"/>
    <mergeCell ref="AA56:AB56"/>
    <mergeCell ref="U63:V63"/>
    <mergeCell ref="C134:D134"/>
    <mergeCell ref="A99:B99"/>
    <mergeCell ref="A101:B101"/>
    <mergeCell ref="U198:V198"/>
    <mergeCell ref="Q136:R136"/>
    <mergeCell ref="G70:H70"/>
    <mergeCell ref="Y54:Z54"/>
    <mergeCell ref="Y176:Z176"/>
    <mergeCell ref="Y64:Z64"/>
    <mergeCell ref="O65:P65"/>
    <mergeCell ref="I134:J134"/>
    <mergeCell ref="AA120:AB120"/>
    <mergeCell ref="S194:T194"/>
    <mergeCell ref="C124:D124"/>
    <mergeCell ref="Q131:R131"/>
    <mergeCell ref="W16:X16"/>
    <mergeCell ref="S195:T195"/>
    <mergeCell ref="O62:P62"/>
    <mergeCell ref="O56:P56"/>
    <mergeCell ref="G129:H129"/>
    <mergeCell ref="W17:X17"/>
    <mergeCell ref="Q120:R120"/>
    <mergeCell ref="O57:P57"/>
    <mergeCell ref="G131:H131"/>
    <mergeCell ref="E58:F58"/>
    <mergeCell ref="I187:J187"/>
    <mergeCell ref="S184:T184"/>
    <mergeCell ref="C108:D108"/>
    <mergeCell ref="AA181:AB181"/>
    <mergeCell ref="Q115:R115"/>
    <mergeCell ref="I189:J189"/>
    <mergeCell ref="Q49:R49"/>
    <mergeCell ref="I123:J123"/>
    <mergeCell ref="Q110:R110"/>
    <mergeCell ref="K179:L179"/>
    <mergeCell ref="AA124:AB124"/>
    <mergeCell ref="AA118:AB118"/>
    <mergeCell ref="I132:J132"/>
    <mergeCell ref="K48:L48"/>
    <mergeCell ref="O185:P185"/>
    <mergeCell ref="M112:N112"/>
    <mergeCell ref="S193:T193"/>
    <mergeCell ref="M114:N114"/>
    <mergeCell ref="O170:P170"/>
    <mergeCell ref="O53:P53"/>
    <mergeCell ref="Y71:Z71"/>
    <mergeCell ref="M107:N107"/>
    <mergeCell ref="E181:F181"/>
    <mergeCell ref="Q117:R117"/>
    <mergeCell ref="Q111:R111"/>
    <mergeCell ref="Q62:R62"/>
    <mergeCell ref="I136:J136"/>
    <mergeCell ref="K192:L192"/>
    <mergeCell ref="I129:J129"/>
    <mergeCell ref="AA125:AB125"/>
    <mergeCell ref="S169:T169"/>
    <mergeCell ref="Y62:Z62"/>
    <mergeCell ref="S168:T168"/>
    <mergeCell ref="W119:X119"/>
    <mergeCell ref="S167:T167"/>
    <mergeCell ref="G126:H126"/>
    <mergeCell ref="S179:T179"/>
    <mergeCell ref="M169:N169"/>
    <mergeCell ref="AA168:AB168"/>
    <mergeCell ref="E114:F114"/>
    <mergeCell ref="W72:X72"/>
    <mergeCell ref="E80:F80"/>
    <mergeCell ref="G5:L5"/>
    <mergeCell ref="Y73:Z73"/>
    <mergeCell ref="O171:P171"/>
    <mergeCell ref="S175:T175"/>
    <mergeCell ref="C105:D105"/>
    <mergeCell ref="K67:L67"/>
    <mergeCell ref="I186:J186"/>
    <mergeCell ref="O196:P196"/>
    <mergeCell ref="E49:F49"/>
    <mergeCell ref="G113:H113"/>
    <mergeCell ref="O66:P66"/>
    <mergeCell ref="S47:T47"/>
    <mergeCell ref="U109:V109"/>
    <mergeCell ref="O68:P68"/>
    <mergeCell ref="AA190:AB190"/>
    <mergeCell ref="G169:H169"/>
    <mergeCell ref="S46:T46"/>
    <mergeCell ref="M193:N193"/>
    <mergeCell ref="U111:V111"/>
    <mergeCell ref="M64:N64"/>
    <mergeCell ref="S48:T48"/>
    <mergeCell ref="K122:L122"/>
    <mergeCell ref="M178:N178"/>
    <mergeCell ref="W79:X79"/>
    <mergeCell ref="W54:X54"/>
    <mergeCell ref="O128:P128"/>
    <mergeCell ref="Q184:R184"/>
    <mergeCell ref="M65:N65"/>
    <mergeCell ref="C60:D60"/>
    <mergeCell ref="W56:X56"/>
    <mergeCell ref="G195:H195"/>
    <mergeCell ref="O123:P123"/>
    <mergeCell ref="AA45:AB45"/>
    <mergeCell ref="E118:F118"/>
    <mergeCell ref="O167:P167"/>
    <mergeCell ref="W125:X125"/>
    <mergeCell ref="Y168:Z168"/>
    <mergeCell ref="U62:V62"/>
    <mergeCell ref="M136:N136"/>
    <mergeCell ref="C70:D70"/>
    <mergeCell ref="AA46:AB46"/>
    <mergeCell ref="C106:D106"/>
    <mergeCell ref="U64:V64"/>
    <mergeCell ref="K65:L65"/>
    <mergeCell ref="E134:F134"/>
    <mergeCell ref="W120:X120"/>
    <mergeCell ref="O194:P194"/>
    <mergeCell ref="AA71:AB71"/>
    <mergeCell ref="G50:H50"/>
    <mergeCell ref="M131:N131"/>
    <mergeCell ref="Y184:Z184"/>
    <mergeCell ref="Q179:R179"/>
    <mergeCell ref="AA192:AB192"/>
    <mergeCell ref="Q45:R45"/>
    <mergeCell ref="U113:V113"/>
    <mergeCell ref="AA194:AB194"/>
    <mergeCell ref="G173:H173"/>
    <mergeCell ref="Q47:R47"/>
    <mergeCell ref="E106:F106"/>
    <mergeCell ref="G170:H170"/>
    <mergeCell ref="Y60:Z60"/>
    <mergeCell ref="G74:H74"/>
    <mergeCell ref="I130:J130"/>
    <mergeCell ref="AA116:AB116"/>
    <mergeCell ref="C173:D173"/>
    <mergeCell ref="I66:J66"/>
    <mergeCell ref="Y110:Z110"/>
    <mergeCell ref="M74:N74"/>
    <mergeCell ref="U131:V131"/>
    <mergeCell ref="U168:V168"/>
    <mergeCell ref="G197:H197"/>
    <mergeCell ref="E124:F124"/>
    <mergeCell ref="K17:L17"/>
    <mergeCell ref="E120:F120"/>
    <mergeCell ref="C57:D57"/>
    <mergeCell ref="E121:F121"/>
    <mergeCell ref="C58:D58"/>
    <mergeCell ref="A186:B192"/>
    <mergeCell ref="M49:N49"/>
    <mergeCell ref="E123:F123"/>
    <mergeCell ref="G179:H179"/>
    <mergeCell ref="S117:T117"/>
    <mergeCell ref="Y174:Z174"/>
    <mergeCell ref="U196:V196"/>
    <mergeCell ref="C142:C143"/>
    <mergeCell ref="C51:D51"/>
    <mergeCell ref="G142:H142"/>
    <mergeCell ref="Y136:Z136"/>
    <mergeCell ref="O70:P70"/>
    <mergeCell ref="C122:D122"/>
    <mergeCell ref="W175:X175"/>
    <mergeCell ref="E43:F43"/>
    <mergeCell ref="I178:J178"/>
    <mergeCell ref="M186:N186"/>
    <mergeCell ref="W177:X177"/>
    <mergeCell ref="C180:D180"/>
    <mergeCell ref="B5:D5"/>
    <mergeCell ref="I114:J114"/>
    <mergeCell ref="K170:L170"/>
    <mergeCell ref="C123:D123"/>
    <mergeCell ref="U71:V71"/>
    <mergeCell ref="M120:N120"/>
    <mergeCell ref="I107:J107"/>
    <mergeCell ref="U73:V73"/>
    <mergeCell ref="E187:F187"/>
    <mergeCell ref="M115:N115"/>
    <mergeCell ref="E189:F189"/>
    <mergeCell ref="Y53:Z53"/>
    <mergeCell ref="K196:L196"/>
    <mergeCell ref="Y55:Z55"/>
    <mergeCell ref="AA117:AB117"/>
    <mergeCell ref="AA43:AB43"/>
    <mergeCell ref="G17:H17"/>
    <mergeCell ref="M111:N111"/>
    <mergeCell ref="S16:T16"/>
    <mergeCell ref="G52:H52"/>
    <mergeCell ref="S174:T174"/>
    <mergeCell ref="O195:P195"/>
    <mergeCell ref="S17:T17"/>
    <mergeCell ref="A131:B136"/>
    <mergeCell ref="W181:X181"/>
    <mergeCell ref="I167:J167"/>
    <mergeCell ref="Q129:R129"/>
    <mergeCell ref="W52:X52"/>
    <mergeCell ref="Y108:Z108"/>
    <mergeCell ref="U133:V133"/>
    <mergeCell ref="I169:J169"/>
    <mergeCell ref="O119:P119"/>
    <mergeCell ref="C197:D197"/>
    <mergeCell ref="Q130:R130"/>
    <mergeCell ref="Q132:R132"/>
    <mergeCell ref="AA69:AB69"/>
    <mergeCell ref="S136:T136"/>
    <mergeCell ref="M57:N57"/>
    <mergeCell ref="AA64:AB64"/>
    <mergeCell ref="U173:V173"/>
    <mergeCell ref="O121:P121"/>
    <mergeCell ref="K167:L167"/>
    <mergeCell ref="G72:H72"/>
    <mergeCell ref="S125:T125"/>
    <mergeCell ref="AA16:AB16"/>
    <mergeCell ref="Q196:R196"/>
    <mergeCell ref="AA47:AB47"/>
    <mergeCell ref="U60:V60"/>
    <mergeCell ref="W124:X124"/>
    <mergeCell ref="D17:D18"/>
    <mergeCell ref="W118:X118"/>
    <mergeCell ref="Y180:Z180"/>
    <mergeCell ref="G48:H48"/>
    <mergeCell ref="Y182:Z182"/>
    <mergeCell ref="K185:L185"/>
    <mergeCell ref="I112:J112"/>
    <mergeCell ref="O193:P193"/>
    <mergeCell ref="K56:L56"/>
    <mergeCell ref="Q183:R183"/>
    <mergeCell ref="S72:T72"/>
    <mergeCell ref="U128:V128"/>
    <mergeCell ref="M177:N177"/>
    <mergeCell ref="C172:D172"/>
    <mergeCell ref="M79:N79"/>
    <mergeCell ref="E196:F196"/>
    <mergeCell ref="O17:P17"/>
    <mergeCell ref="E198:F198"/>
    <mergeCell ref="AA141:AB141"/>
    <mergeCell ref="AA135:AB135"/>
    <mergeCell ref="Y72:Z72"/>
    <mergeCell ref="M129:N129"/>
    <mergeCell ref="S52:T52"/>
    <mergeCell ref="AA136:AB136"/>
    <mergeCell ref="U108:V108"/>
    <mergeCell ref="K119:L119"/>
    <mergeCell ref="M183:N183"/>
    <mergeCell ref="I177:J177"/>
    <mergeCell ref="S63:T63"/>
    <mergeCell ref="E66:F66"/>
    <mergeCell ref="M53:N53"/>
    <mergeCell ref="U110:V110"/>
    <mergeCell ref="I74:J74"/>
    <mergeCell ref="W44:X44"/>
    <mergeCell ref="E68:F68"/>
    <mergeCell ref="K198:L198"/>
    <mergeCell ref="AA111:AB111"/>
    <mergeCell ref="AA112:AB112"/>
    <mergeCell ref="S186:T186"/>
    <mergeCell ref="Q109:R109"/>
    <mergeCell ref="M168:N168"/>
    <mergeCell ref="I62:J62"/>
    <mergeCell ref="O46:P46"/>
    <mergeCell ref="I64:J64"/>
    <mergeCell ref="O48:P48"/>
    <mergeCell ref="S54:T54"/>
    <mergeCell ref="K128:L128"/>
    <mergeCell ref="W135:X135"/>
    <mergeCell ref="C114:D114"/>
    <mergeCell ref="E176:F176"/>
    <mergeCell ref="U72:V72"/>
    <mergeCell ref="E178:F178"/>
    <mergeCell ref="K71:L71"/>
    <mergeCell ref="K194:L194"/>
    <mergeCell ref="C50:D50"/>
    <mergeCell ref="I131:J131"/>
    <mergeCell ref="U184:V184"/>
    <mergeCell ref="A163:B163"/>
    <mergeCell ref="O16:P16"/>
    <mergeCell ref="O174:P174"/>
    <mergeCell ref="K195:L195"/>
    <mergeCell ref="E116:F116"/>
    <mergeCell ref="B41:AB41"/>
    <mergeCell ref="AA110:AB110"/>
    <mergeCell ref="C179:D179"/>
    <mergeCell ref="C113:D113"/>
    <mergeCell ref="M184:N184"/>
    <mergeCell ref="I65:J65"/>
    <mergeCell ref="K121:L121"/>
    <mergeCell ref="S56:T56"/>
    <mergeCell ref="C195:D195"/>
    <mergeCell ref="Y63:Z63"/>
    <mergeCell ref="K123:L123"/>
    <mergeCell ref="A141:A143"/>
    <mergeCell ref="U136:V136"/>
    <mergeCell ref="W192:X192"/>
    <mergeCell ref="C171:D171"/>
    <mergeCell ref="W63:X63"/>
    <mergeCell ref="W194:X194"/>
    <mergeCell ref="Q126:R126"/>
    <mergeCell ref="W110:X110"/>
    <mergeCell ref="K47:L47"/>
    <mergeCell ref="K169:L169"/>
    <mergeCell ref="M109:N109"/>
    <mergeCell ref="E177:F177"/>
    <mergeCell ref="W45:X45"/>
    <mergeCell ref="Q175:R175"/>
    <mergeCell ref="O112:P112"/>
    <mergeCell ref="G186:H186"/>
    <mergeCell ref="W47:X47"/>
    <mergeCell ref="Q177:R177"/>
    <mergeCell ref="A15:AB15"/>
    <mergeCell ref="C46:D46"/>
    <mergeCell ref="O114:P114"/>
    <mergeCell ref="Q176:R176"/>
    <mergeCell ref="AA80:AB80"/>
    <mergeCell ref="O109:P109"/>
    <mergeCell ref="C48:D48"/>
    <mergeCell ref="G54:H54"/>
    <mergeCell ref="E112:F112"/>
    <mergeCell ref="G56:H56"/>
    <mergeCell ref="I120:J120"/>
    <mergeCell ref="C74:D74"/>
    <mergeCell ref="I113:J113"/>
    <mergeCell ref="I115:J115"/>
    <mergeCell ref="O69:P69"/>
    <mergeCell ref="W126:X126"/>
    <mergeCell ref="C116:D116"/>
    <mergeCell ref="C112:D112"/>
    <mergeCell ref="K46:L46"/>
    <mergeCell ref="W141:X141"/>
    <mergeCell ref="Y128:Z128"/>
    <mergeCell ref="C188:D188"/>
    <mergeCell ref="I111:J111"/>
    <mergeCell ref="W122:X122"/>
    <mergeCell ref="G192:H192"/>
    <mergeCell ref="Y186:Z186"/>
    <mergeCell ref="G6:L12"/>
    <mergeCell ref="E167:F167"/>
    <mergeCell ref="Y188:Z188"/>
    <mergeCell ref="G196:H196"/>
    <mergeCell ref="W109:X109"/>
    <mergeCell ref="U53:V53"/>
    <mergeCell ref="O183:P183"/>
    <mergeCell ref="Y190:Z190"/>
    <mergeCell ref="W117:X117"/>
    <mergeCell ref="E169:F169"/>
    <mergeCell ref="O64:P64"/>
    <mergeCell ref="Y61:Z61"/>
    <mergeCell ref="Y175:Z175"/>
    <mergeCell ref="O72:P72"/>
    <mergeCell ref="Q128:R128"/>
    <mergeCell ref="W112:X112"/>
    <mergeCell ref="U79:V79"/>
    <mergeCell ref="K49:L49"/>
    <mergeCell ref="I168:J168"/>
    <mergeCell ref="Y56:Z56"/>
    <mergeCell ref="E62:F62"/>
    <mergeCell ref="S192:T192"/>
    <mergeCell ref="K16:L16"/>
    <mergeCell ref="Q124:R124"/>
    <mergeCell ref="Y181:Z181"/>
    <mergeCell ref="K45:L45"/>
    <mergeCell ref="G194:H194"/>
    <mergeCell ref="S71:T71"/>
    <mergeCell ref="G49:H49"/>
    <mergeCell ref="C192:D192"/>
    <mergeCell ref="C194:D194"/>
    <mergeCell ref="Y67:Z67"/>
    <mergeCell ref="I197:J197"/>
    <mergeCell ref="E64:F64"/>
    <mergeCell ref="C177:D177"/>
    <mergeCell ref="O54:P54"/>
    <mergeCell ref="G128:H128"/>
    <mergeCell ref="I184:J184"/>
    <mergeCell ref="E65:F65"/>
    <mergeCell ref="G121:H121"/>
    <mergeCell ref="W43:X43"/>
    <mergeCell ref="Y105:Z105"/>
    <mergeCell ref="AA172:AB172"/>
    <mergeCell ref="G123:H123"/>
    <mergeCell ref="O110:P110"/>
    <mergeCell ref="AA173:AB173"/>
    <mergeCell ref="Q174:R174"/>
    <mergeCell ref="W67:X67"/>
    <mergeCell ref="Q168:R168"/>
    <mergeCell ref="W69:X69"/>
    <mergeCell ref="Y125:Z125"/>
    <mergeCell ref="O136:P136"/>
    <mergeCell ref="Y133:Z133"/>
    <mergeCell ref="Y127:Z127"/>
    <mergeCell ref="I57:J57"/>
    <mergeCell ref="W64:X64"/>
    <mergeCell ref="Q194:R194"/>
    <mergeCell ref="AA191:AB191"/>
    <mergeCell ref="E197:F197"/>
    <mergeCell ref="M181:N181"/>
    <mergeCell ref="W172:X172"/>
    <mergeCell ref="M52:N52"/>
    <mergeCell ref="W171:X171"/>
    <mergeCell ref="W173:X173"/>
    <mergeCell ref="S67:T67"/>
    <mergeCell ref="A38:B38"/>
    <mergeCell ref="M106:N106"/>
    <mergeCell ref="K73:L73"/>
    <mergeCell ref="Y194:Z194"/>
    <mergeCell ref="I53:J53"/>
    <mergeCell ref="E74:F74"/>
    <mergeCell ref="C130:D130"/>
    <mergeCell ref="A95:B95"/>
    <mergeCell ref="I55:J55"/>
    <mergeCell ref="K117:L117"/>
    <mergeCell ref="U116:V116"/>
    <mergeCell ref="Y124:Z124"/>
    <mergeCell ref="M61:N61"/>
    <mergeCell ref="I48:J48"/>
    <mergeCell ref="U118:V118"/>
    <mergeCell ref="S45:T45"/>
    <mergeCell ref="A97:B97"/>
    <mergeCell ref="M175:N175"/>
    <mergeCell ref="C72:D72"/>
    <mergeCell ref="M185:N185"/>
    <mergeCell ref="K112:L112"/>
    <mergeCell ref="C186:D186"/>
    <mergeCell ref="M56:N56"/>
    <mergeCell ref="M176:N176"/>
    <mergeCell ref="E129:F129"/>
    <mergeCell ref="Q16:R16"/>
    <mergeCell ref="C196:D196"/>
    <mergeCell ref="B79:B81"/>
    <mergeCell ref="C198:D198"/>
    <mergeCell ref="W62:X62"/>
    <mergeCell ref="Q44:R44"/>
    <mergeCell ref="C121:D121"/>
    <mergeCell ref="U194:V194"/>
    <mergeCell ref="I17:J17"/>
    <mergeCell ref="Y16:Z16"/>
    <mergeCell ref="I193:J193"/>
    <mergeCell ref="E53:F53"/>
    <mergeCell ref="S183:T183"/>
    <mergeCell ref="E55:F55"/>
    <mergeCell ref="I183:J183"/>
    <mergeCell ref="E48:F48"/>
    <mergeCell ref="S180:T180"/>
    <mergeCell ref="I175:J175"/>
    <mergeCell ref="W182:X182"/>
    <mergeCell ref="G189:H189"/>
    <mergeCell ref="C56:D56"/>
    <mergeCell ref="M196:N196"/>
    <mergeCell ref="M198:N198"/>
    <mergeCell ref="E113:F113"/>
    <mergeCell ref="S124:T124"/>
    <mergeCell ref="E115:F115"/>
    <mergeCell ref="K69:L69"/>
    <mergeCell ref="U188:V188"/>
    <mergeCell ref="A167:B167"/>
    <mergeCell ref="Q53:R53"/>
    <mergeCell ref="S109:T109"/>
    <mergeCell ref="U59:V59"/>
    <mergeCell ref="G117:H117"/>
    <mergeCell ref="AA134:AB134"/>
    <mergeCell ref="U124:V124"/>
    <mergeCell ref="I61:J61"/>
    <mergeCell ref="O45:P45"/>
    <mergeCell ref="AA167:AB167"/>
    <mergeCell ref="W58:X58"/>
    <mergeCell ref="E110:F110"/>
    <mergeCell ref="Q141:R141"/>
    <mergeCell ref="K181:L181"/>
    <mergeCell ref="U57:V57"/>
    <mergeCell ref="K58:L58"/>
    <mergeCell ref="W113:X113"/>
    <mergeCell ref="M194:N194"/>
    <mergeCell ref="W191:X191"/>
    <mergeCell ref="C170:D170"/>
    <mergeCell ref="I63:J63"/>
    <mergeCell ref="Y107:Z107"/>
    <mergeCell ref="M71:N71"/>
    <mergeCell ref="AA53:AB53"/>
    <mergeCell ref="AA50:AB50"/>
    <mergeCell ref="K64:L64"/>
    <mergeCell ref="U61:V61"/>
    <mergeCell ref="O191:P191"/>
    <mergeCell ref="K72:L72"/>
    <mergeCell ref="M128:N128"/>
    <mergeCell ref="O184:P184"/>
    <mergeCell ref="Q79:R79"/>
    <mergeCell ref="AA70:AB70"/>
    <mergeCell ref="U56:V56"/>
    <mergeCell ref="O192:P192"/>
    <mergeCell ref="O120:P120"/>
    <mergeCell ref="I196:J196"/>
    <mergeCell ref="AA180:AB180"/>
    <mergeCell ref="Y117:Z117"/>
    <mergeCell ref="C42:D42"/>
    <mergeCell ref="E17:F17"/>
    <mergeCell ref="G136:H136"/>
    <mergeCell ref="Q127:R127"/>
    <mergeCell ref="U105:V105"/>
    <mergeCell ref="AA186:AB186"/>
    <mergeCell ref="M118:N118"/>
    <mergeCell ref="S114:T114"/>
    <mergeCell ref="U176:V176"/>
    <mergeCell ref="U178:V178"/>
    <mergeCell ref="Y44:Z44"/>
    <mergeCell ref="E45:F45"/>
    <mergeCell ref="I182:J182"/>
    <mergeCell ref="G109:H109"/>
    <mergeCell ref="Q169:R169"/>
    <mergeCell ref="AA66:AB66"/>
    <mergeCell ref="I118:J118"/>
    <mergeCell ref="G45:H45"/>
    <mergeCell ref="U52:V52"/>
    <mergeCell ref="G55:H55"/>
    <mergeCell ref="S108:T108"/>
    <mergeCell ref="G47:H47"/>
    <mergeCell ref="I109:J109"/>
    <mergeCell ref="I119:J119"/>
    <mergeCell ref="G46:H46"/>
    <mergeCell ref="AA67:AB67"/>
    <mergeCell ref="AA61:AB61"/>
    <mergeCell ref="K175:L175"/>
    <mergeCell ref="S135:T135"/>
    <mergeCell ref="I198:J198"/>
    <mergeCell ref="K173:L173"/>
    <mergeCell ref="C65:D65"/>
    <mergeCell ref="K44:L44"/>
    <mergeCell ref="Q72:R72"/>
    <mergeCell ref="G69:H69"/>
    <mergeCell ref="Q59:R59"/>
    <mergeCell ref="G64:H64"/>
    <mergeCell ref="Q61:R61"/>
    <mergeCell ref="K191:L191"/>
    <mergeCell ref="I128:J128"/>
    <mergeCell ref="AA114:AB114"/>
    <mergeCell ref="K184:L184"/>
    <mergeCell ref="C49:D49"/>
    <mergeCell ref="Q56:R56"/>
    <mergeCell ref="Y43:Z43"/>
    <mergeCell ref="AA105:AB105"/>
    <mergeCell ref="Y74:Z74"/>
    <mergeCell ref="M110:N110"/>
    <mergeCell ref="AA132:AB132"/>
    <mergeCell ref="O168:P168"/>
    <mergeCell ref="I181:J181"/>
    <mergeCell ref="Y69:Z69"/>
    <mergeCell ref="S171:T171"/>
    <mergeCell ref="AA133:AB133"/>
    <mergeCell ref="AA127:AB127"/>
    <mergeCell ref="U54:V54"/>
    <mergeCell ref="O67:P67"/>
    <mergeCell ref="M121:N121"/>
    <mergeCell ref="S44:T44"/>
    <mergeCell ref="E47:F47"/>
    <mergeCell ref="Q125:R125"/>
    <mergeCell ref="M16:N16"/>
    <mergeCell ref="M45:N45"/>
    <mergeCell ref="E119:F119"/>
    <mergeCell ref="M17:N17"/>
    <mergeCell ref="O126:P126"/>
    <mergeCell ref="M47:N47"/>
    <mergeCell ref="Q182:R182"/>
    <mergeCell ref="G183:H183"/>
    <mergeCell ref="U190:V190"/>
    <mergeCell ref="G193:H193"/>
    <mergeCell ref="Y141:Z141"/>
    <mergeCell ref="O111:P111"/>
    <mergeCell ref="G185:H185"/>
    <mergeCell ref="E122:F122"/>
    <mergeCell ref="M44:N44"/>
    <mergeCell ref="G178:H178"/>
    <mergeCell ref="O190:P190"/>
    <mergeCell ref="S58:T58"/>
    <mergeCell ref="Y178:Z178"/>
    <mergeCell ref="I185:J185"/>
    <mergeCell ref="G112:H112"/>
    <mergeCell ref="I56:J56"/>
    <mergeCell ref="I176:J176"/>
    <mergeCell ref="U114:V114"/>
    <mergeCell ref="G16:H16"/>
    <mergeCell ref="O73:P73"/>
    <mergeCell ref="W60:X60"/>
    <mergeCell ref="Y116:Z116"/>
    <mergeCell ref="Y126:Z126"/>
    <mergeCell ref="W53:X53"/>
    <mergeCell ref="K177:L177"/>
    <mergeCell ref="G71:H71"/>
    <mergeCell ref="G175:H175"/>
    <mergeCell ref="G177:H177"/>
    <mergeCell ref="C17:C18"/>
    <mergeCell ref="C71:D71"/>
    <mergeCell ref="C66:D66"/>
    <mergeCell ref="M63:N63"/>
    <mergeCell ref="U50:V50"/>
    <mergeCell ref="U44:V44"/>
    <mergeCell ref="G119:H119"/>
    <mergeCell ref="G111:H111"/>
    <mergeCell ref="AA123:AB123"/>
    <mergeCell ref="Y50:Z50"/>
    <mergeCell ref="E184:F184"/>
    <mergeCell ref="S51:T51"/>
    <mergeCell ref="I194:J194"/>
    <mergeCell ref="S191:T191"/>
    <mergeCell ref="E63:F63"/>
    <mergeCell ref="U107:V107"/>
    <mergeCell ref="AA57:AB57"/>
    <mergeCell ref="I71:J71"/>
    <mergeCell ref="AA170:AB170"/>
    <mergeCell ref="AA51:AB51"/>
    <mergeCell ref="C189:D189"/>
    <mergeCell ref="AA188:AB188"/>
    <mergeCell ref="I106:J106"/>
    <mergeCell ref="G68:H68"/>
    <mergeCell ref="O55:P55"/>
    <mergeCell ref="Y52:Z52"/>
    <mergeCell ref="AA108:AB108"/>
    <mergeCell ref="Y45:Z45"/>
    <mergeCell ref="Q119:R119"/>
    <mergeCell ref="AA109:AB109"/>
    <mergeCell ref="AA131:AB131"/>
    <mergeCell ref="C68:D68"/>
    <mergeCell ref="W116:X116"/>
    <mergeCell ref="E130:F130"/>
    <mergeCell ref="M117:N117"/>
    <mergeCell ref="U174:V174"/>
    <mergeCell ref="W108:X108"/>
    <mergeCell ref="E132:F132"/>
    <mergeCell ref="U45:V45"/>
    <mergeCell ref="M119:N119"/>
    <mergeCell ref="E59:F59"/>
    <mergeCell ref="W134:X134"/>
    <mergeCell ref="Y80:Z80"/>
    <mergeCell ref="AA142:AB142"/>
    <mergeCell ref="E61:F61"/>
    <mergeCell ref="E54:F54"/>
    <mergeCell ref="E56:F56"/>
    <mergeCell ref="G120:H120"/>
    <mergeCell ref="Y106:Z106"/>
    <mergeCell ref="Y49:Z49"/>
    <mergeCell ref="U67:V67"/>
    <mergeCell ref="M141:N141"/>
    <mergeCell ref="W132:X132"/>
    <mergeCell ref="K168:L168"/>
    <mergeCell ref="U69:V69"/>
    <mergeCell ref="C45:D45"/>
    <mergeCell ref="Q52:R52"/>
    <mergeCell ref="O108:P108"/>
    <mergeCell ref="M73:N73"/>
    <mergeCell ref="C47:D47"/>
    <mergeCell ref="S60:T60"/>
    <mergeCell ref="Q116:R116"/>
    <mergeCell ref="C16:D16"/>
    <mergeCell ref="C168:D168"/>
    <mergeCell ref="Q181:R181"/>
    <mergeCell ref="U126:V126"/>
    <mergeCell ref="W188:X188"/>
    <mergeCell ref="C167:D167"/>
    <mergeCell ref="W66:X66"/>
    <mergeCell ref="W180:X180"/>
    <mergeCell ref="W59:X59"/>
    <mergeCell ref="O133:P133"/>
    <mergeCell ref="W190:X190"/>
    <mergeCell ref="C169:D169"/>
    <mergeCell ref="U117:V117"/>
    <mergeCell ref="W61:X61"/>
    <mergeCell ref="O135:P135"/>
    <mergeCell ref="Q191:R191"/>
    <mergeCell ref="M72:N72"/>
    <mergeCell ref="S79:T79"/>
    <mergeCell ref="C62:D62"/>
    <mergeCell ref="M59:N59"/>
    <mergeCell ref="K113:L113"/>
    <mergeCell ref="C187:D187"/>
    <mergeCell ref="C64:D64"/>
    <mergeCell ref="M54:N54"/>
    <mergeCell ref="E128:F128"/>
    <mergeCell ref="W114:X114"/>
    <mergeCell ref="U16:V16"/>
    <mergeCell ref="G184:H184"/>
    <mergeCell ref="I110:J110"/>
    <mergeCell ref="W130:X130"/>
    <mergeCell ref="A78:AB78"/>
    <mergeCell ref="O60:P60"/>
    <mergeCell ref="Y196:Z196"/>
    <mergeCell ref="E175:F175"/>
    <mergeCell ref="E185:F185"/>
    <mergeCell ref="W133:X133"/>
    <mergeCell ref="W127:X127"/>
    <mergeCell ref="Q54:R54"/>
    <mergeCell ref="Y191:Z191"/>
    <mergeCell ref="E170:F170"/>
    <mergeCell ref="K63:L63"/>
    <mergeCell ref="A37:B37"/>
    <mergeCell ref="Y51:Z51"/>
    <mergeCell ref="AA107:AB107"/>
    <mergeCell ref="O44:P44"/>
    <mergeCell ref="S181:T181"/>
    <mergeCell ref="A168:B185"/>
    <mergeCell ref="C132:D132"/>
    <mergeCell ref="Q105:R105"/>
    <mergeCell ref="W186:X186"/>
    <mergeCell ref="I69:J69"/>
    <mergeCell ref="S59:T59"/>
    <mergeCell ref="K133:L133"/>
    <mergeCell ref="S61:T61"/>
    <mergeCell ref="K135:L135"/>
    <mergeCell ref="M191:N191"/>
    <mergeCell ref="M51:N51"/>
    <mergeCell ref="Q142:R142"/>
    <mergeCell ref="I72:J72"/>
    <mergeCell ref="Q171:R171"/>
    <mergeCell ref="M192:N192"/>
    <mergeCell ref="Q173:R173"/>
    <mergeCell ref="U181:V181"/>
    <mergeCell ref="AA74:AB74"/>
    <mergeCell ref="A16:A18"/>
    <mergeCell ref="Q107:R107"/>
    <mergeCell ref="I60:J60"/>
    <mergeCell ref="I174:J174"/>
    <mergeCell ref="Y121:Z121"/>
    <mergeCell ref="I45:J45"/>
    <mergeCell ref="M180:N180"/>
    <mergeCell ref="AA179:AB179"/>
    <mergeCell ref="K126:L126"/>
    <mergeCell ref="I47:J47"/>
    <mergeCell ref="M182:N182"/>
    <mergeCell ref="K109:L109"/>
    <mergeCell ref="C183:D183"/>
    <mergeCell ref="Q190:R190"/>
    <mergeCell ref="C193:D193"/>
    <mergeCell ref="U141:V141"/>
    <mergeCell ref="B16:B18"/>
    <mergeCell ref="U135:V135"/>
    <mergeCell ref="C176:D176"/>
    <mergeCell ref="K111:L111"/>
    <mergeCell ref="C178:D178"/>
    <mergeCell ref="W70:X70"/>
    <mergeCell ref="I79:J79"/>
    <mergeCell ref="I73:J73"/>
    <mergeCell ref="Q71:R71"/>
    <mergeCell ref="Y58:Z58"/>
    <mergeCell ref="I16:J16"/>
    <mergeCell ref="Q73:R73"/>
    <mergeCell ref="B141:B143"/>
    <mergeCell ref="C120:D120"/>
    <mergeCell ref="U106:V106"/>
    <mergeCell ref="W170:X170"/>
    <mergeCell ref="U197:V197"/>
    <mergeCell ref="AA52:AB52"/>
    <mergeCell ref="S126:T126"/>
    <mergeCell ref="S121:T121"/>
    <mergeCell ref="Q58:R58"/>
    <mergeCell ref="O172:P172"/>
    <mergeCell ref="AA49:AB49"/>
    <mergeCell ref="G53:H53"/>
    <mergeCell ref="Q50:R50"/>
    <mergeCell ref="A158:B158"/>
    <mergeCell ref="Q60:R60"/>
    <mergeCell ref="K59:L59"/>
    <mergeCell ref="S116:T116"/>
    <mergeCell ref="K190:L190"/>
    <mergeCell ref="I117:J117"/>
    <mergeCell ref="A160:B160"/>
    <mergeCell ref="K61:L61"/>
    <mergeCell ref="S118:T118"/>
    <mergeCell ref="U180:V180"/>
    <mergeCell ref="C135:D135"/>
    <mergeCell ref="A159:B159"/>
    <mergeCell ref="M125:N125"/>
    <mergeCell ref="U182:V182"/>
    <mergeCell ref="A161:B161"/>
    <mergeCell ref="K62:L62"/>
    <mergeCell ref="C136:D136"/>
    <mergeCell ref="K193:L193"/>
    <mergeCell ref="E192:F192"/>
    <mergeCell ref="M127:N127"/>
    <mergeCell ref="S134:T134"/>
    <mergeCell ref="AA121:AB121"/>
    <mergeCell ref="E194:F194"/>
    <mergeCell ref="A157:B157"/>
    <mergeCell ref="U49:V49"/>
    <mergeCell ref="K60:L60"/>
    <mergeCell ref="Q67:R67"/>
    <mergeCell ref="I141:J141"/>
    <mergeCell ref="Q69:R69"/>
    <mergeCell ref="G167:H167"/>
    <mergeCell ref="AA59:AB59"/>
    <mergeCell ref="S133:T133"/>
    <mergeCell ref="S127:T127"/>
    <mergeCell ref="U191:V191"/>
    <mergeCell ref="G63:H63"/>
    <mergeCell ref="U51:V51"/>
    <mergeCell ref="W107:X107"/>
    <mergeCell ref="O181:P181"/>
    <mergeCell ref="AA113:AB113"/>
    <mergeCell ref="S187:T187"/>
    <mergeCell ref="Y171:Z171"/>
    <mergeCell ref="AA115:AB115"/>
    <mergeCell ref="S189:T189"/>
    <mergeCell ref="Y173:Z173"/>
    <mergeCell ref="S182:T182"/>
    <mergeCell ref="O49:P49"/>
    <mergeCell ref="Q118:R118"/>
    <mergeCell ref="E60:F60"/>
    <mergeCell ref="Q113:R113"/>
    <mergeCell ref="O50:P50"/>
    <mergeCell ref="G124:H124"/>
    <mergeCell ref="I180:J180"/>
    <mergeCell ref="O80:P80"/>
    <mergeCell ref="O52:P52"/>
    <mergeCell ref="Q108:R108"/>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10"/>
  <sheetViews>
    <sheetView zoomScale="55" zoomScaleNormal="55" workbookViewId="0">
      <pane ySplit="1" topLeftCell="A13" activePane="bottomLeft" state="frozen"/>
      <selection pane="bottomLeft" activeCell="O24" sqref="O24"/>
    </sheetView>
  </sheetViews>
  <sheetFormatPr defaultColWidth="12.59765625" defaultRowHeight="15" customHeight="1"/>
  <cols>
    <col min="1" max="1" width="34.5" style="520" customWidth="1"/>
    <col min="2" max="2" width="31.59765625" style="520" customWidth="1"/>
    <col min="3" max="3" width="36.3984375" style="520" customWidth="1"/>
    <col min="4" max="4" width="41.3984375" style="520" customWidth="1"/>
    <col min="5" max="5" width="29.19921875" style="520" customWidth="1"/>
    <col min="6" max="6" width="13.69921875" style="520" customWidth="1"/>
    <col min="7" max="7" width="12.69921875" style="520" customWidth="1"/>
    <col min="8" max="8" width="36.59765625" style="520" customWidth="1"/>
    <col min="9" max="9" width="22.3984375" style="520" customWidth="1"/>
    <col min="10" max="10" width="24" style="520" customWidth="1"/>
    <col min="11" max="11" width="29.69921875" style="520" customWidth="1"/>
    <col min="12" max="12" width="24" style="520" customWidth="1"/>
    <col min="13" max="13" width="14.69921875" style="520" customWidth="1"/>
    <col min="14" max="14" width="13.5" style="520" customWidth="1"/>
    <col min="15" max="15" width="19.09765625" style="520" customWidth="1"/>
    <col min="16" max="16" width="11.69921875" style="520" customWidth="1"/>
    <col min="17" max="17" width="14.09765625" style="520" customWidth="1"/>
    <col min="18" max="18" width="12.19921875" style="520" customWidth="1"/>
    <col min="19" max="19" width="14" style="520" customWidth="1"/>
    <col min="20" max="20" width="15" style="520" customWidth="1"/>
    <col min="21" max="21" width="13.19921875" style="520" customWidth="1"/>
    <col min="22" max="22" width="12.3984375" style="520" customWidth="1"/>
    <col min="23" max="23" width="12.5" style="520" customWidth="1"/>
    <col min="24" max="25" width="12.8984375" style="520" customWidth="1"/>
    <col min="26" max="29" width="12.5" style="520" customWidth="1"/>
    <col min="30" max="31" width="12.59765625" style="520" customWidth="1"/>
    <col min="32" max="16384" width="12.59765625" style="520"/>
  </cols>
  <sheetData>
    <row r="1" spans="1:29" ht="43.2" customHeight="1">
      <c r="A1" s="516"/>
      <c r="B1" s="517"/>
      <c r="C1" s="518" t="s">
        <v>148</v>
      </c>
      <c r="D1" s="516"/>
      <c r="E1" s="518"/>
      <c r="F1" s="516"/>
      <c r="G1" s="516"/>
      <c r="H1" s="516"/>
      <c r="I1" s="516"/>
      <c r="J1" s="516"/>
      <c r="K1" s="516"/>
      <c r="L1" s="516"/>
      <c r="M1" s="516"/>
      <c r="N1" s="516"/>
      <c r="O1" s="516"/>
      <c r="P1" s="519"/>
      <c r="Q1" s="519"/>
      <c r="R1" s="519"/>
      <c r="S1" s="519"/>
      <c r="T1" s="519"/>
      <c r="U1" s="519"/>
      <c r="V1" s="519"/>
      <c r="W1" s="519"/>
      <c r="X1" s="519"/>
      <c r="Y1" s="519"/>
      <c r="Z1" s="519"/>
      <c r="AA1" s="519"/>
      <c r="AB1" s="519"/>
      <c r="AC1" s="519"/>
    </row>
    <row r="2" spans="1:29" ht="15" customHeight="1" thickBot="1">
      <c r="A2" s="519"/>
      <c r="B2" s="521"/>
      <c r="C2" s="519"/>
      <c r="D2" s="519"/>
      <c r="E2" s="519"/>
      <c r="F2" s="519"/>
      <c r="G2" s="519"/>
      <c r="H2" s="519"/>
      <c r="I2" s="519"/>
      <c r="J2" s="519"/>
      <c r="K2" s="519"/>
      <c r="L2" s="519"/>
      <c r="M2" s="519"/>
      <c r="N2" s="519"/>
      <c r="O2" s="519"/>
      <c r="P2" s="519"/>
      <c r="Q2" s="519"/>
      <c r="R2" s="519"/>
      <c r="S2" s="519"/>
      <c r="T2" s="519"/>
      <c r="U2" s="519"/>
      <c r="V2" s="519"/>
      <c r="W2" s="519"/>
      <c r="X2" s="519"/>
      <c r="Y2" s="519"/>
      <c r="Z2" s="519"/>
      <c r="AA2" s="519"/>
      <c r="AB2" s="519"/>
      <c r="AC2" s="519"/>
    </row>
    <row r="3" spans="1:29" ht="53.4" customHeight="1" thickBot="1">
      <c r="A3" s="732" t="s">
        <v>149</v>
      </c>
      <c r="B3" s="620"/>
      <c r="C3" s="620"/>
      <c r="D3" s="620"/>
      <c r="E3" s="621"/>
      <c r="F3" s="519"/>
      <c r="G3" s="519"/>
      <c r="H3" s="734" t="s">
        <v>150</v>
      </c>
      <c r="I3" s="620"/>
      <c r="J3" s="620"/>
      <c r="K3" s="620"/>
      <c r="L3" s="621"/>
      <c r="M3" s="519"/>
      <c r="N3" s="519"/>
      <c r="O3" s="519" t="s">
        <v>151</v>
      </c>
      <c r="P3" s="522">
        <v>6</v>
      </c>
      <c r="Q3" s="519"/>
      <c r="R3" s="519"/>
      <c r="S3" s="749" t="s">
        <v>152</v>
      </c>
      <c r="T3" s="620"/>
      <c r="U3" s="620"/>
      <c r="V3" s="620"/>
      <c r="W3" s="621"/>
      <c r="X3" s="519"/>
      <c r="Y3" s="749" t="s">
        <v>153</v>
      </c>
      <c r="Z3" s="620"/>
      <c r="AA3" s="620"/>
      <c r="AB3" s="620"/>
      <c r="AC3" s="621"/>
    </row>
    <row r="4" spans="1:29" ht="49.8" customHeight="1" thickBot="1">
      <c r="A4" s="737"/>
      <c r="B4" s="620"/>
      <c r="C4" s="620"/>
      <c r="D4" s="620"/>
      <c r="E4" s="621"/>
      <c r="F4" s="519"/>
      <c r="G4" s="519"/>
      <c r="H4" s="737"/>
      <c r="I4" s="620"/>
      <c r="J4" s="620"/>
      <c r="K4" s="620"/>
      <c r="L4" s="621"/>
      <c r="M4" s="519"/>
      <c r="N4" s="519"/>
      <c r="O4" s="519"/>
      <c r="P4" s="519"/>
      <c r="Q4" s="519"/>
      <c r="R4" s="519"/>
      <c r="S4" s="737"/>
      <c r="T4" s="620"/>
      <c r="U4" s="620"/>
      <c r="V4" s="620"/>
      <c r="W4" s="621"/>
      <c r="X4" s="519"/>
      <c r="Y4" s="737"/>
      <c r="Z4" s="620"/>
      <c r="AA4" s="620"/>
      <c r="AB4" s="620"/>
      <c r="AC4" s="621"/>
    </row>
    <row r="5" spans="1:29" ht="26.4" customHeight="1" thickBot="1">
      <c r="A5" s="519"/>
      <c r="B5" s="521"/>
      <c r="C5" s="519"/>
      <c r="D5" s="519"/>
      <c r="E5" s="519"/>
      <c r="F5" s="519"/>
      <c r="G5" s="519"/>
      <c r="H5" s="519"/>
      <c r="I5" s="519"/>
      <c r="J5" s="519"/>
      <c r="K5" s="519"/>
      <c r="L5" s="519"/>
      <c r="M5" s="519"/>
      <c r="N5" s="519"/>
      <c r="O5" s="519"/>
      <c r="P5" s="519"/>
      <c r="Q5" s="519"/>
      <c r="R5" s="519"/>
      <c r="S5" s="519"/>
      <c r="T5" s="519"/>
      <c r="U5" s="519"/>
      <c r="V5" s="519"/>
      <c r="W5" s="519"/>
      <c r="X5" s="519"/>
      <c r="Y5" s="519"/>
      <c r="Z5" s="519"/>
      <c r="AA5" s="519"/>
      <c r="AB5" s="519"/>
      <c r="AC5" s="519"/>
    </row>
    <row r="6" spans="1:29" ht="52.2" customHeight="1" thickBot="1">
      <c r="A6" s="732" t="s">
        <v>154</v>
      </c>
      <c r="B6" s="620"/>
      <c r="C6" s="621"/>
      <c r="D6" s="523"/>
      <c r="E6" s="523"/>
      <c r="F6" s="519"/>
      <c r="G6" s="519"/>
      <c r="H6" s="519"/>
      <c r="I6" s="519"/>
      <c r="J6" s="519"/>
      <c r="K6" s="519"/>
      <c r="L6" s="519"/>
      <c r="M6" s="519"/>
      <c r="N6" s="519"/>
      <c r="O6" s="519"/>
      <c r="P6" s="519"/>
      <c r="Q6" s="519"/>
      <c r="R6" s="519"/>
      <c r="S6" s="519"/>
      <c r="T6" s="519"/>
      <c r="U6" s="519"/>
      <c r="V6" s="519"/>
      <c r="W6" s="519"/>
      <c r="X6" s="519"/>
      <c r="Y6" s="519"/>
      <c r="Z6" s="519"/>
      <c r="AA6" s="519"/>
      <c r="AB6" s="519"/>
      <c r="AC6" s="519"/>
    </row>
    <row r="7" spans="1:29" ht="15" customHeight="1">
      <c r="A7" s="524" t="s">
        <v>155</v>
      </c>
      <c r="B7" s="525">
        <v>52</v>
      </c>
      <c r="C7" s="195" t="s">
        <v>156</v>
      </c>
      <c r="D7" s="519"/>
      <c r="E7" s="519"/>
      <c r="F7" s="519"/>
      <c r="G7" s="519"/>
      <c r="H7" s="519"/>
      <c r="I7" s="519"/>
      <c r="J7" s="519"/>
      <c r="K7" s="519"/>
      <c r="L7" s="519"/>
      <c r="M7" s="519"/>
      <c r="N7" s="519"/>
      <c r="O7" s="519"/>
      <c r="P7" s="519"/>
      <c r="Q7" s="519"/>
      <c r="R7" s="519"/>
      <c r="S7" s="519"/>
      <c r="T7" s="519"/>
      <c r="U7" s="519"/>
      <c r="V7" s="519"/>
      <c r="W7" s="519"/>
      <c r="X7" s="519"/>
      <c r="Y7" s="519"/>
      <c r="Z7" s="519"/>
      <c r="AA7" s="519"/>
      <c r="AB7" s="519"/>
      <c r="AC7" s="519"/>
    </row>
    <row r="8" spans="1:29" ht="15" customHeight="1">
      <c r="A8" s="524" t="s">
        <v>157</v>
      </c>
      <c r="B8" s="525">
        <v>2</v>
      </c>
      <c r="C8" s="195" t="s">
        <v>156</v>
      </c>
      <c r="D8" s="519"/>
      <c r="E8" s="519"/>
      <c r="F8" s="519"/>
      <c r="G8" s="519"/>
      <c r="H8" s="519"/>
      <c r="I8" s="519"/>
      <c r="J8" s="519"/>
      <c r="K8" s="519"/>
      <c r="L8" s="519"/>
      <c r="M8" s="519"/>
      <c r="N8" s="519"/>
      <c r="O8" s="519"/>
      <c r="P8" s="519"/>
      <c r="Q8" s="519"/>
      <c r="R8" s="519"/>
      <c r="S8" s="519"/>
      <c r="T8" s="519"/>
      <c r="U8" s="519"/>
      <c r="V8" s="519"/>
      <c r="W8" s="519"/>
      <c r="X8" s="519"/>
      <c r="Y8" s="519"/>
      <c r="Z8" s="519"/>
      <c r="AA8" s="519"/>
      <c r="AB8" s="519"/>
      <c r="AC8" s="519"/>
    </row>
    <row r="9" spans="1:29" ht="15" customHeight="1">
      <c r="A9" s="524" t="s">
        <v>158</v>
      </c>
      <c r="B9" s="525">
        <v>14</v>
      </c>
      <c r="C9" s="195" t="s">
        <v>159</v>
      </c>
      <c r="D9" s="519"/>
      <c r="E9" s="519"/>
      <c r="F9" s="519"/>
      <c r="G9" s="519"/>
      <c r="H9" s="519"/>
      <c r="I9" s="519"/>
      <c r="J9" s="519"/>
      <c r="K9" s="519"/>
      <c r="L9" s="519"/>
      <c r="M9" s="519"/>
      <c r="N9" s="519"/>
      <c r="O9" s="519"/>
      <c r="P9" s="519"/>
      <c r="Q9" s="519"/>
      <c r="R9" s="519"/>
      <c r="S9" s="519"/>
      <c r="T9" s="519"/>
      <c r="U9" s="519"/>
      <c r="V9" s="519"/>
      <c r="W9" s="519"/>
      <c r="X9" s="519"/>
      <c r="Y9" s="519"/>
      <c r="Z9" s="519"/>
      <c r="AA9" s="519"/>
      <c r="AB9" s="519"/>
      <c r="AC9" s="519"/>
    </row>
    <row r="10" spans="1:29" ht="15" customHeight="1" thickBot="1">
      <c r="A10" s="524" t="s">
        <v>160</v>
      </c>
      <c r="B10" s="525">
        <f>(B7-B8)*5 -B9</f>
        <v>236</v>
      </c>
      <c r="C10" s="195" t="s">
        <v>159</v>
      </c>
      <c r="D10" s="519"/>
      <c r="E10" s="519"/>
      <c r="F10" s="519"/>
      <c r="G10" s="519"/>
      <c r="H10" s="519"/>
      <c r="I10" s="519"/>
      <c r="J10" s="519"/>
      <c r="K10" s="519"/>
      <c r="L10" s="519"/>
      <c r="M10" s="519"/>
      <c r="N10" s="519"/>
      <c r="O10" s="519"/>
      <c r="P10" s="519"/>
      <c r="Q10" s="519"/>
      <c r="R10" s="519"/>
      <c r="S10" s="519"/>
      <c r="T10" s="519"/>
      <c r="U10" s="519"/>
      <c r="V10" s="519"/>
      <c r="W10" s="519"/>
      <c r="X10" s="519"/>
      <c r="Y10" s="519"/>
      <c r="Z10" s="519"/>
      <c r="AA10" s="519"/>
      <c r="AB10" s="519"/>
      <c r="AC10" s="519"/>
    </row>
    <row r="11" spans="1:29" ht="87.6" customHeight="1">
      <c r="A11" s="524" t="s">
        <v>161</v>
      </c>
      <c r="B11" s="525">
        <v>8</v>
      </c>
      <c r="C11" s="195" t="s">
        <v>162</v>
      </c>
      <c r="D11" s="519"/>
      <c r="E11" s="519"/>
      <c r="F11" s="519"/>
      <c r="G11" s="519"/>
      <c r="H11" s="519"/>
      <c r="I11" s="519"/>
      <c r="J11" s="519"/>
      <c r="K11" s="519"/>
      <c r="L11" s="519"/>
      <c r="M11" s="519"/>
      <c r="N11" s="519"/>
      <c r="O11" s="519"/>
      <c r="P11" s="519"/>
      <c r="Q11" s="519"/>
      <c r="R11" s="519"/>
      <c r="S11" s="519"/>
      <c r="T11" s="526" t="s">
        <v>163</v>
      </c>
      <c r="U11" s="519"/>
      <c r="V11" s="519"/>
      <c r="W11" s="519"/>
      <c r="X11" s="519"/>
      <c r="Y11" s="519"/>
      <c r="Z11" s="519"/>
      <c r="AA11" s="519"/>
      <c r="AB11" s="519"/>
      <c r="AC11" s="519"/>
    </row>
    <row r="12" spans="1:29" ht="64.8" customHeight="1" thickBot="1">
      <c r="A12" s="527" t="s">
        <v>164</v>
      </c>
      <c r="B12" s="528">
        <f>B10*B11</f>
        <v>1888</v>
      </c>
      <c r="C12" s="529" t="s">
        <v>162</v>
      </c>
      <c r="D12" s="519"/>
      <c r="E12" s="519"/>
      <c r="F12" s="519"/>
      <c r="G12" s="519"/>
      <c r="H12" s="519"/>
      <c r="I12" s="519"/>
      <c r="J12" s="519"/>
      <c r="K12" s="519"/>
      <c r="L12" s="519"/>
      <c r="M12" s="519"/>
      <c r="N12" s="519"/>
      <c r="O12" s="519"/>
      <c r="P12" s="519"/>
      <c r="Q12" s="519"/>
      <c r="R12" s="519"/>
      <c r="S12" s="519"/>
      <c r="T12" s="530" t="s">
        <v>165</v>
      </c>
      <c r="U12" s="519"/>
      <c r="V12" s="519"/>
      <c r="W12" s="519"/>
      <c r="X12" s="519"/>
      <c r="Y12" s="519"/>
      <c r="Z12" s="519"/>
      <c r="AA12" s="519"/>
      <c r="AB12" s="519"/>
      <c r="AC12" s="519"/>
    </row>
    <row r="13" spans="1:29" ht="99.6" customHeight="1" thickBot="1">
      <c r="A13" s="746" t="s">
        <v>166</v>
      </c>
      <c r="B13" s="531">
        <v>1800</v>
      </c>
      <c r="C13" s="618" t="s">
        <v>167</v>
      </c>
      <c r="D13" s="519"/>
      <c r="E13" s="519"/>
      <c r="F13" s="519"/>
      <c r="G13" s="519"/>
      <c r="H13" s="519"/>
      <c r="I13" s="519"/>
      <c r="J13" s="519"/>
      <c r="K13" s="519"/>
      <c r="L13" s="519"/>
      <c r="M13" s="519"/>
      <c r="N13" s="519"/>
      <c r="O13" s="519"/>
      <c r="P13" s="519"/>
      <c r="Q13" s="519"/>
      <c r="R13" s="519"/>
      <c r="S13" s="519"/>
      <c r="T13" s="532" t="s">
        <v>168</v>
      </c>
      <c r="U13" s="519"/>
      <c r="V13" s="519"/>
      <c r="W13" s="519"/>
      <c r="X13" s="519"/>
      <c r="Y13" s="519"/>
      <c r="Z13" s="519"/>
      <c r="AA13" s="519"/>
      <c r="AB13" s="519"/>
      <c r="AC13" s="519"/>
    </row>
    <row r="14" spans="1:29" ht="61.2" customHeight="1" thickBot="1">
      <c r="A14" s="625"/>
      <c r="B14" s="533">
        <v>150</v>
      </c>
      <c r="C14" s="534" t="s">
        <v>169</v>
      </c>
      <c r="D14" s="519"/>
      <c r="E14" s="519"/>
      <c r="F14" s="519"/>
      <c r="G14" s="519"/>
      <c r="H14" s="519"/>
      <c r="I14" s="519"/>
      <c r="J14" s="519"/>
      <c r="K14" s="519"/>
      <c r="L14" s="519"/>
      <c r="M14" s="519"/>
      <c r="N14" s="519"/>
      <c r="O14" s="519"/>
      <c r="P14" s="519"/>
      <c r="Q14" s="519"/>
      <c r="R14" s="519"/>
      <c r="S14" s="519"/>
      <c r="T14" s="519"/>
      <c r="U14" s="519"/>
      <c r="V14" s="519"/>
      <c r="W14" s="519"/>
      <c r="X14" s="519"/>
      <c r="Y14" s="519"/>
      <c r="Z14" s="519"/>
      <c r="AA14" s="519"/>
      <c r="AB14" s="519"/>
      <c r="AC14" s="519"/>
    </row>
    <row r="15" spans="1:29" ht="15" customHeight="1">
      <c r="A15" s="535"/>
      <c r="B15" s="536"/>
      <c r="C15" s="537"/>
      <c r="D15" s="519"/>
      <c r="E15" s="519"/>
      <c r="F15" s="519"/>
      <c r="G15" s="519"/>
      <c r="H15" s="519"/>
      <c r="I15" s="519"/>
      <c r="J15" s="519"/>
      <c r="K15" s="519"/>
      <c r="L15" s="519"/>
      <c r="M15" s="519"/>
      <c r="N15" s="519"/>
      <c r="O15" s="519"/>
      <c r="P15" s="519"/>
      <c r="Q15" s="519"/>
      <c r="R15" s="519"/>
      <c r="S15" s="519"/>
      <c r="T15" s="519"/>
      <c r="U15" s="519"/>
      <c r="V15" s="519"/>
      <c r="W15" s="519"/>
      <c r="X15" s="519"/>
      <c r="Y15" s="519"/>
      <c r="Z15" s="519"/>
      <c r="AA15" s="519"/>
      <c r="AB15" s="519"/>
      <c r="AC15" s="519"/>
    </row>
    <row r="16" spans="1:29" ht="15" customHeight="1">
      <c r="A16" s="538"/>
      <c r="B16" s="539"/>
      <c r="C16" s="540"/>
      <c r="D16" s="541"/>
      <c r="E16" s="541"/>
      <c r="F16" s="541"/>
      <c r="G16" s="541"/>
      <c r="H16" s="541"/>
      <c r="I16" s="541"/>
      <c r="J16" s="541"/>
      <c r="K16" s="541"/>
      <c r="L16" s="541"/>
      <c r="M16" s="541"/>
      <c r="N16" s="541"/>
      <c r="O16" s="519"/>
      <c r="P16" s="519"/>
      <c r="Q16" s="519"/>
      <c r="R16" s="519"/>
      <c r="S16" s="519"/>
      <c r="T16" s="519"/>
      <c r="U16" s="519"/>
      <c r="V16" s="519"/>
      <c r="W16" s="519"/>
      <c r="X16" s="519"/>
      <c r="Y16" s="519"/>
      <c r="Z16" s="519"/>
      <c r="AA16" s="519"/>
      <c r="AB16" s="519"/>
      <c r="AC16" s="519"/>
    </row>
    <row r="17" spans="1:29" ht="15" customHeight="1" thickBot="1">
      <c r="A17" s="519"/>
      <c r="B17" s="521"/>
      <c r="C17" s="542"/>
      <c r="D17" s="542"/>
      <c r="E17" s="542"/>
      <c r="F17" s="542"/>
      <c r="G17" s="519"/>
      <c r="H17" s="519"/>
      <c r="I17" s="519"/>
      <c r="J17" s="519"/>
      <c r="K17" s="519"/>
      <c r="L17" s="519"/>
      <c r="M17" s="519"/>
      <c r="N17" s="519"/>
      <c r="O17" s="519"/>
      <c r="P17" s="519"/>
      <c r="Q17" s="519"/>
      <c r="R17" s="519"/>
      <c r="S17" s="519"/>
      <c r="T17" s="519"/>
      <c r="U17" s="519"/>
      <c r="V17" s="519"/>
      <c r="W17" s="519"/>
      <c r="X17" s="519"/>
      <c r="Y17" s="519"/>
      <c r="Z17" s="519"/>
      <c r="AA17" s="519"/>
      <c r="AB17" s="519"/>
      <c r="AC17" s="519"/>
    </row>
    <row r="18" spans="1:29" ht="29.4" customHeight="1" thickTop="1" thickBot="1">
      <c r="A18" s="732" t="s">
        <v>58</v>
      </c>
      <c r="B18" s="620"/>
      <c r="C18" s="620"/>
      <c r="D18" s="620"/>
      <c r="E18" s="621"/>
      <c r="F18" s="535"/>
      <c r="G18" s="519"/>
      <c r="H18" s="734" t="s">
        <v>170</v>
      </c>
      <c r="I18" s="620"/>
      <c r="J18" s="620"/>
      <c r="K18" s="620"/>
      <c r="L18" s="621"/>
      <c r="M18" s="519"/>
      <c r="N18" s="519"/>
      <c r="O18" s="519"/>
      <c r="P18" s="519"/>
      <c r="Q18" s="519"/>
      <c r="R18" s="519"/>
      <c r="S18" s="739" t="s">
        <v>171</v>
      </c>
      <c r="T18" s="740"/>
      <c r="U18" s="740"/>
      <c r="V18" s="740"/>
      <c r="W18" s="741"/>
      <c r="X18" s="519"/>
      <c r="Y18" s="739" t="s">
        <v>170</v>
      </c>
      <c r="Z18" s="740"/>
      <c r="AA18" s="740"/>
      <c r="AB18" s="740"/>
      <c r="AC18" s="741"/>
    </row>
    <row r="19" spans="1:29" ht="66.599999999999994" customHeight="1" thickBot="1">
      <c r="A19" s="543" t="s">
        <v>172</v>
      </c>
      <c r="B19" s="544" t="s">
        <v>173</v>
      </c>
      <c r="C19" s="544" t="s">
        <v>174</v>
      </c>
      <c r="D19" s="544" t="s">
        <v>175</v>
      </c>
      <c r="E19" s="545" t="s">
        <v>176</v>
      </c>
      <c r="F19" s="535"/>
      <c r="G19" s="519"/>
      <c r="H19" s="546" t="s">
        <v>172</v>
      </c>
      <c r="I19" s="547" t="s">
        <v>173</v>
      </c>
      <c r="J19" s="547" t="s">
        <v>174</v>
      </c>
      <c r="K19" s="547" t="s">
        <v>175</v>
      </c>
      <c r="L19" s="548" t="s">
        <v>176</v>
      </c>
      <c r="M19" s="519"/>
      <c r="N19" s="519"/>
      <c r="O19" s="519"/>
      <c r="P19" s="519"/>
      <c r="Q19" s="519"/>
      <c r="R19" s="519"/>
      <c r="S19" s="730" t="s">
        <v>177</v>
      </c>
      <c r="T19" s="731"/>
      <c r="U19" s="549" t="s">
        <v>34</v>
      </c>
      <c r="V19" s="549" t="s">
        <v>178</v>
      </c>
      <c r="W19" s="550" t="s">
        <v>179</v>
      </c>
      <c r="X19" s="519"/>
      <c r="Y19" s="730" t="s">
        <v>177</v>
      </c>
      <c r="Z19" s="731"/>
      <c r="AA19" s="549" t="s">
        <v>34</v>
      </c>
      <c r="AB19" s="549" t="s">
        <v>178</v>
      </c>
      <c r="AC19" s="550" t="s">
        <v>179</v>
      </c>
    </row>
    <row r="20" spans="1:29" ht="15" customHeight="1" thickBot="1">
      <c r="A20" s="551">
        <v>1</v>
      </c>
      <c r="B20" s="552" t="s">
        <v>180</v>
      </c>
      <c r="C20" s="197">
        <v>0.08</v>
      </c>
      <c r="D20" s="197">
        <v>1</v>
      </c>
      <c r="E20" s="553">
        <f t="shared" ref="E20:E31" si="0">D20*C20</f>
        <v>0.08</v>
      </c>
      <c r="F20" s="519"/>
      <c r="G20" s="519"/>
      <c r="H20" s="551">
        <v>1</v>
      </c>
      <c r="I20" s="552" t="s">
        <v>181</v>
      </c>
      <c r="J20" s="197">
        <v>0.05</v>
      </c>
      <c r="K20" s="197">
        <v>1</v>
      </c>
      <c r="L20" s="553">
        <f>K20*J20</f>
        <v>0.05</v>
      </c>
      <c r="M20" s="519"/>
      <c r="N20" s="519"/>
      <c r="O20" s="519"/>
      <c r="P20" s="519"/>
      <c r="Q20" s="519"/>
      <c r="R20" s="519"/>
      <c r="S20" s="738" t="s">
        <v>182</v>
      </c>
      <c r="T20" s="683"/>
      <c r="U20" s="198">
        <f>$E$32</f>
        <v>0.5</v>
      </c>
      <c r="V20" s="554">
        <f>$P$3</f>
        <v>6</v>
      </c>
      <c r="W20" s="555">
        <f>V20*U20</f>
        <v>3</v>
      </c>
      <c r="X20" s="519"/>
      <c r="Y20" s="738" t="s">
        <v>183</v>
      </c>
      <c r="Z20" s="683"/>
      <c r="AA20" s="556">
        <f>$L$32</f>
        <v>0.15000000000000002</v>
      </c>
      <c r="AB20" s="557">
        <f>$P$3</f>
        <v>6</v>
      </c>
      <c r="AC20" s="558">
        <f>AB20*AA20</f>
        <v>0.90000000000000013</v>
      </c>
    </row>
    <row r="21" spans="1:29" ht="15" customHeight="1" thickBot="1">
      <c r="A21" s="559">
        <v>2</v>
      </c>
      <c r="B21" s="560" t="s">
        <v>184</v>
      </c>
      <c r="C21" s="561">
        <v>0.08</v>
      </c>
      <c r="D21" s="561">
        <v>1</v>
      </c>
      <c r="E21" s="553">
        <f t="shared" si="0"/>
        <v>0.08</v>
      </c>
      <c r="F21" s="519"/>
      <c r="G21" s="519"/>
      <c r="H21" s="559">
        <v>2</v>
      </c>
      <c r="I21" s="560" t="s">
        <v>185</v>
      </c>
      <c r="J21" s="561">
        <v>7.0000000000000007E-2</v>
      </c>
      <c r="K21" s="561">
        <v>1</v>
      </c>
      <c r="L21" s="553">
        <f>K21*J21</f>
        <v>7.0000000000000007E-2</v>
      </c>
      <c r="M21" s="519"/>
      <c r="N21" s="519"/>
      <c r="O21" s="519"/>
      <c r="P21" s="519"/>
      <c r="Q21" s="519"/>
      <c r="R21" s="519"/>
      <c r="S21" s="562"/>
      <c r="T21" s="195"/>
      <c r="U21" s="195"/>
      <c r="V21" s="563"/>
      <c r="W21" s="564"/>
      <c r="X21" s="519"/>
      <c r="Y21" s="729"/>
      <c r="Z21" s="645"/>
      <c r="AA21" s="195"/>
      <c r="AB21" s="195"/>
      <c r="AC21" s="565"/>
    </row>
    <row r="22" spans="1:29" ht="15" customHeight="1" thickBot="1">
      <c r="A22" s="559">
        <v>3</v>
      </c>
      <c r="B22" s="560" t="s">
        <v>186</v>
      </c>
      <c r="C22" s="561">
        <v>0.17</v>
      </c>
      <c r="D22" s="561">
        <v>1</v>
      </c>
      <c r="E22" s="553">
        <f t="shared" si="0"/>
        <v>0.17</v>
      </c>
      <c r="F22" s="519"/>
      <c r="G22" s="519"/>
      <c r="H22" s="559">
        <v>3</v>
      </c>
      <c r="I22" s="560" t="s">
        <v>187</v>
      </c>
      <c r="J22" s="561">
        <v>0.03</v>
      </c>
      <c r="K22" s="561">
        <v>1</v>
      </c>
      <c r="L22" s="553">
        <f>K22*J22</f>
        <v>0.03</v>
      </c>
      <c r="M22" s="519"/>
      <c r="N22" s="519"/>
      <c r="O22" s="519"/>
      <c r="P22" s="519"/>
      <c r="Q22" s="519"/>
      <c r="R22" s="519"/>
      <c r="S22" s="729"/>
      <c r="T22" s="645"/>
      <c r="U22" s="566"/>
      <c r="V22" s="563"/>
      <c r="W22" s="564"/>
      <c r="X22" s="519"/>
      <c r="Y22" s="729"/>
      <c r="Z22" s="645"/>
      <c r="AA22" s="195"/>
      <c r="AB22" s="195">
        <f>V3</f>
        <v>0</v>
      </c>
      <c r="AC22" s="565"/>
    </row>
    <row r="23" spans="1:29" ht="15" customHeight="1" thickBot="1">
      <c r="A23" s="559">
        <v>4</v>
      </c>
      <c r="B23" s="560" t="s">
        <v>188</v>
      </c>
      <c r="C23" s="561">
        <v>0.12</v>
      </c>
      <c r="D23" s="561">
        <v>1</v>
      </c>
      <c r="E23" s="553">
        <f t="shared" si="0"/>
        <v>0.12</v>
      </c>
      <c r="F23" s="519"/>
      <c r="G23" s="519"/>
      <c r="H23" s="559">
        <v>4</v>
      </c>
      <c r="I23" s="560"/>
      <c r="J23" s="561"/>
      <c r="K23" s="561"/>
      <c r="L23" s="553">
        <f>K23*J23</f>
        <v>0</v>
      </c>
      <c r="M23" s="519"/>
      <c r="N23" s="519"/>
      <c r="O23" s="519"/>
      <c r="P23" s="519"/>
      <c r="Q23" s="519"/>
      <c r="R23" s="519"/>
      <c r="S23" s="729"/>
      <c r="T23" s="645"/>
      <c r="U23" s="195"/>
      <c r="V23" s="195"/>
      <c r="W23" s="565"/>
      <c r="X23" s="519"/>
      <c r="Y23" s="729"/>
      <c r="Z23" s="645"/>
      <c r="AA23" s="195"/>
      <c r="AB23" s="195"/>
      <c r="AC23" s="565"/>
    </row>
    <row r="24" spans="1:29" ht="15" customHeight="1" thickBot="1">
      <c r="A24" s="559">
        <v>5</v>
      </c>
      <c r="B24" s="560" t="s">
        <v>189</v>
      </c>
      <c r="C24" s="561">
        <v>0.05</v>
      </c>
      <c r="D24" s="561">
        <v>1</v>
      </c>
      <c r="E24" s="553">
        <f t="shared" si="0"/>
        <v>0.05</v>
      </c>
      <c r="F24" s="519"/>
      <c r="G24" s="519"/>
      <c r="H24" s="559">
        <v>5</v>
      </c>
      <c r="I24" s="560"/>
      <c r="J24" s="561"/>
      <c r="K24" s="561"/>
      <c r="L24" s="553">
        <f>K24*J24</f>
        <v>0</v>
      </c>
      <c r="M24" s="519"/>
      <c r="N24" s="519"/>
      <c r="O24" s="519"/>
      <c r="P24" s="519"/>
      <c r="Q24" s="519"/>
      <c r="R24" s="519"/>
      <c r="S24" s="729"/>
      <c r="T24" s="645"/>
      <c r="U24" s="195"/>
      <c r="V24" s="195"/>
      <c r="W24" s="565"/>
      <c r="X24" s="519"/>
      <c r="Y24" s="729"/>
      <c r="Z24" s="645"/>
      <c r="AA24" s="195"/>
      <c r="AB24" s="195"/>
      <c r="AC24" s="565"/>
    </row>
    <row r="25" spans="1:29" ht="15" customHeight="1" thickBot="1">
      <c r="A25" s="559">
        <v>6</v>
      </c>
      <c r="B25" s="560"/>
      <c r="C25" s="561"/>
      <c r="D25" s="561"/>
      <c r="E25" s="553">
        <f t="shared" si="0"/>
        <v>0</v>
      </c>
      <c r="F25" s="519"/>
      <c r="G25" s="519"/>
      <c r="H25" s="559">
        <v>6</v>
      </c>
      <c r="I25" s="560"/>
      <c r="J25" s="561"/>
      <c r="K25" s="561"/>
      <c r="L25" s="553"/>
      <c r="M25" s="519"/>
      <c r="N25" s="519"/>
      <c r="O25" s="519"/>
      <c r="P25" s="519"/>
      <c r="Q25" s="519"/>
      <c r="R25" s="519"/>
      <c r="S25" s="729"/>
      <c r="T25" s="645"/>
      <c r="U25" s="195"/>
      <c r="V25" s="195"/>
      <c r="W25" s="565"/>
      <c r="X25" s="519"/>
      <c r="Y25" s="729"/>
      <c r="Z25" s="645"/>
      <c r="AA25" s="195"/>
      <c r="AB25" s="195"/>
      <c r="AC25" s="565"/>
    </row>
    <row r="26" spans="1:29" ht="15" customHeight="1" thickBot="1">
      <c r="A26" s="567">
        <v>7</v>
      </c>
      <c r="B26" s="568"/>
      <c r="C26" s="569"/>
      <c r="D26" s="569"/>
      <c r="E26" s="553">
        <f t="shared" si="0"/>
        <v>0</v>
      </c>
      <c r="F26" s="519"/>
      <c r="G26" s="519"/>
      <c r="H26" s="559">
        <v>7</v>
      </c>
      <c r="I26" s="560"/>
      <c r="J26" s="561"/>
      <c r="K26" s="561"/>
      <c r="L26" s="553"/>
      <c r="M26" s="519"/>
      <c r="N26" s="519"/>
      <c r="O26" s="519"/>
      <c r="P26" s="519"/>
      <c r="Q26" s="519"/>
      <c r="R26" s="519"/>
      <c r="S26" s="729"/>
      <c r="T26" s="645"/>
      <c r="U26" s="195"/>
      <c r="V26" s="195"/>
      <c r="W26" s="565"/>
      <c r="X26" s="519"/>
      <c r="Y26" s="729"/>
      <c r="Z26" s="645"/>
      <c r="AA26" s="195"/>
      <c r="AB26" s="195"/>
      <c r="AC26" s="565"/>
    </row>
    <row r="27" spans="1:29" ht="15" customHeight="1" thickBot="1">
      <c r="A27" s="567">
        <v>8</v>
      </c>
      <c r="B27" s="568"/>
      <c r="C27" s="569"/>
      <c r="D27" s="569"/>
      <c r="E27" s="553">
        <f t="shared" si="0"/>
        <v>0</v>
      </c>
      <c r="F27" s="519"/>
      <c r="G27" s="519"/>
      <c r="H27" s="559">
        <v>8</v>
      </c>
      <c r="I27" s="560"/>
      <c r="J27" s="561"/>
      <c r="K27" s="561"/>
      <c r="L27" s="553"/>
      <c r="M27" s="519"/>
      <c r="N27" s="519"/>
      <c r="O27" s="519"/>
      <c r="P27" s="519"/>
      <c r="Q27" s="519"/>
      <c r="R27" s="519"/>
      <c r="S27" s="733"/>
      <c r="T27" s="703"/>
      <c r="U27" s="200"/>
      <c r="V27" s="200"/>
      <c r="W27" s="570"/>
      <c r="X27" s="519"/>
      <c r="Y27" s="733"/>
      <c r="Z27" s="703"/>
      <c r="AA27" s="200"/>
      <c r="AB27" s="200"/>
      <c r="AC27" s="570"/>
    </row>
    <row r="28" spans="1:29" ht="15" customHeight="1" thickBot="1">
      <c r="A28" s="567">
        <v>9</v>
      </c>
      <c r="B28" s="568"/>
      <c r="C28" s="569"/>
      <c r="D28" s="569"/>
      <c r="E28" s="553">
        <f t="shared" si="0"/>
        <v>0</v>
      </c>
      <c r="F28" s="519"/>
      <c r="G28" s="519"/>
      <c r="H28" s="559">
        <v>9</v>
      </c>
      <c r="I28" s="560"/>
      <c r="J28" s="561"/>
      <c r="K28" s="561"/>
      <c r="L28" s="553"/>
      <c r="M28" s="519"/>
      <c r="N28" s="519"/>
      <c r="O28" s="519"/>
      <c r="P28" s="519"/>
      <c r="Q28" s="519"/>
      <c r="R28" s="519"/>
      <c r="S28" s="744" t="s">
        <v>190</v>
      </c>
      <c r="T28" s="745"/>
      <c r="U28" s="571"/>
      <c r="V28" s="571"/>
      <c r="W28" s="572">
        <f>SUM(W20:W25)</f>
        <v>3</v>
      </c>
      <c r="X28" s="519"/>
      <c r="Y28" s="744" t="s">
        <v>190</v>
      </c>
      <c r="Z28" s="745"/>
      <c r="AA28" s="571"/>
      <c r="AB28" s="571"/>
      <c r="AC28" s="573">
        <f>SUM(AC20:AC25)</f>
        <v>0.90000000000000013</v>
      </c>
    </row>
    <row r="29" spans="1:29" ht="15.6" customHeight="1" thickTop="1" thickBot="1">
      <c r="A29" s="574">
        <v>10</v>
      </c>
      <c r="B29" s="575"/>
      <c r="C29" s="576"/>
      <c r="D29" s="576"/>
      <c r="E29" s="553">
        <f t="shared" si="0"/>
        <v>0</v>
      </c>
      <c r="F29" s="519"/>
      <c r="G29" s="519"/>
      <c r="H29" s="559">
        <v>10</v>
      </c>
      <c r="I29" s="560"/>
      <c r="J29" s="561"/>
      <c r="K29" s="561"/>
      <c r="L29" s="553"/>
      <c r="M29" s="519"/>
      <c r="N29" s="519"/>
      <c r="O29" s="519"/>
      <c r="P29" s="519"/>
      <c r="Q29" s="519"/>
      <c r="R29" s="519"/>
      <c r="S29" s="519"/>
      <c r="T29" s="519"/>
      <c r="U29" s="519"/>
      <c r="V29" s="519"/>
      <c r="W29" s="519"/>
      <c r="X29" s="519"/>
      <c r="Y29" s="519"/>
      <c r="Z29" s="519"/>
      <c r="AA29" s="519"/>
      <c r="AB29" s="519"/>
      <c r="AC29" s="519"/>
    </row>
    <row r="30" spans="1:29" thickBot="1">
      <c r="A30" s="574">
        <v>11</v>
      </c>
      <c r="B30" s="575"/>
      <c r="C30" s="576"/>
      <c r="D30" s="576"/>
      <c r="E30" s="553">
        <f t="shared" si="0"/>
        <v>0</v>
      </c>
      <c r="F30" s="519"/>
      <c r="G30" s="519"/>
      <c r="H30" s="559">
        <v>11</v>
      </c>
      <c r="I30" s="560"/>
      <c r="J30" s="561"/>
      <c r="K30" s="561"/>
      <c r="L30" s="553"/>
      <c r="M30" s="519"/>
      <c r="N30" s="519"/>
      <c r="O30" s="519"/>
      <c r="P30" s="519"/>
      <c r="Q30" s="519"/>
      <c r="R30" s="519"/>
      <c r="S30" s="519"/>
      <c r="T30" s="519"/>
      <c r="U30" s="519"/>
      <c r="V30" s="519"/>
      <c r="W30" s="519"/>
      <c r="X30" s="519"/>
      <c r="Y30" s="519"/>
      <c r="Z30" s="519"/>
      <c r="AA30" s="519"/>
      <c r="AB30" s="519"/>
      <c r="AC30" s="519"/>
    </row>
    <row r="31" spans="1:29" thickBot="1">
      <c r="A31" s="577">
        <v>12</v>
      </c>
      <c r="B31" s="578"/>
      <c r="C31" s="579"/>
      <c r="D31" s="579"/>
      <c r="E31" s="553">
        <f t="shared" si="0"/>
        <v>0</v>
      </c>
      <c r="F31" s="519"/>
      <c r="G31" s="519"/>
      <c r="H31" s="559">
        <v>12</v>
      </c>
      <c r="I31" s="560"/>
      <c r="J31" s="561"/>
      <c r="K31" s="561"/>
      <c r="L31" s="553"/>
      <c r="M31" s="519"/>
      <c r="N31" s="519"/>
      <c r="O31" s="519"/>
      <c r="P31" s="519"/>
      <c r="Q31" s="519"/>
      <c r="R31" s="519"/>
      <c r="S31" s="519"/>
      <c r="T31" s="519"/>
      <c r="U31" s="519"/>
      <c r="V31" s="519"/>
      <c r="W31" s="519"/>
      <c r="X31" s="519"/>
      <c r="Y31" s="519"/>
      <c r="Z31" s="519"/>
      <c r="AA31" s="519"/>
      <c r="AB31" s="519"/>
      <c r="AC31" s="519"/>
    </row>
    <row r="32" spans="1:29" ht="115.2" customHeight="1" thickBot="1">
      <c r="A32" s="727" t="s">
        <v>191</v>
      </c>
      <c r="B32" s="636"/>
      <c r="C32" s="637"/>
      <c r="D32" s="543" t="s">
        <v>192</v>
      </c>
      <c r="E32" s="580">
        <f>SUM(E20:E31)</f>
        <v>0.5</v>
      </c>
      <c r="F32" s="519" t="s">
        <v>193</v>
      </c>
      <c r="G32" s="519"/>
      <c r="H32" s="727" t="s">
        <v>194</v>
      </c>
      <c r="I32" s="636"/>
      <c r="J32" s="637"/>
      <c r="K32" s="543" t="s">
        <v>195</v>
      </c>
      <c r="L32" s="580">
        <f>SUM(L20:L31)</f>
        <v>0.15000000000000002</v>
      </c>
      <c r="M32" s="519"/>
      <c r="N32" s="519"/>
      <c r="O32" s="519"/>
      <c r="P32" s="519"/>
      <c r="Q32" s="519"/>
      <c r="R32" s="519"/>
      <c r="S32" s="519"/>
      <c r="T32" s="519"/>
      <c r="U32" s="519"/>
      <c r="V32" s="519"/>
      <c r="W32" s="519"/>
      <c r="X32" s="519"/>
      <c r="Y32" s="519"/>
      <c r="Z32" s="519"/>
      <c r="AA32" s="519"/>
      <c r="AB32" s="519"/>
      <c r="AC32" s="519"/>
    </row>
    <row r="33" spans="1:29" ht="58.2" customHeight="1" thickBot="1">
      <c r="A33" s="640"/>
      <c r="B33" s="641"/>
      <c r="C33" s="642"/>
      <c r="D33" s="533" t="s">
        <v>196</v>
      </c>
      <c r="E33" s="581">
        <f>E32/$B$14</f>
        <v>3.3333333333333335E-3</v>
      </c>
      <c r="F33" s="582">
        <f>$P$3*E32</f>
        <v>3</v>
      </c>
      <c r="G33" s="519"/>
      <c r="H33" s="640"/>
      <c r="I33" s="641"/>
      <c r="J33" s="642"/>
      <c r="K33" s="533" t="s">
        <v>197</v>
      </c>
      <c r="L33" s="581">
        <f>L32/$B$14</f>
        <v>1.0000000000000002E-3</v>
      </c>
      <c r="M33" s="583"/>
      <c r="N33" s="519"/>
      <c r="O33" s="519"/>
      <c r="P33" s="519"/>
      <c r="Q33" s="519"/>
      <c r="R33" s="519"/>
      <c r="S33" s="519"/>
      <c r="T33" s="519"/>
      <c r="U33" s="519"/>
      <c r="V33" s="519"/>
      <c r="W33" s="519"/>
      <c r="X33" s="519"/>
      <c r="Y33" s="519"/>
      <c r="Z33" s="519"/>
      <c r="AA33" s="519"/>
      <c r="AB33" s="519"/>
      <c r="AC33" s="519"/>
    </row>
    <row r="34" spans="1:29" ht="14.4" customHeight="1">
      <c r="A34" s="519"/>
      <c r="B34" s="521"/>
      <c r="C34" s="584"/>
      <c r="D34" s="584"/>
      <c r="E34" s="585"/>
      <c r="F34" s="519"/>
      <c r="G34" s="519"/>
      <c r="H34" s="519"/>
      <c r="I34" s="519"/>
      <c r="J34" s="519"/>
      <c r="K34" s="519"/>
      <c r="L34" s="519"/>
      <c r="M34" s="519"/>
      <c r="N34" s="519"/>
      <c r="O34" s="519"/>
      <c r="P34" s="519"/>
      <c r="Q34" s="519"/>
      <c r="R34" s="519"/>
      <c r="S34" s="519"/>
      <c r="T34" s="519"/>
      <c r="U34" s="519"/>
      <c r="V34" s="519"/>
      <c r="W34" s="519"/>
      <c r="X34" s="519"/>
      <c r="Y34" s="519"/>
      <c r="Z34" s="519"/>
      <c r="AA34" s="519"/>
      <c r="AB34" s="519"/>
      <c r="AC34" s="519"/>
    </row>
    <row r="35" spans="1:29" ht="14.4" customHeight="1">
      <c r="A35" s="541"/>
      <c r="B35" s="586"/>
      <c r="C35" s="587"/>
      <c r="D35" s="587"/>
      <c r="E35" s="588"/>
      <c r="F35" s="541"/>
      <c r="G35" s="541"/>
      <c r="H35" s="541"/>
      <c r="I35" s="541"/>
      <c r="J35" s="541"/>
      <c r="K35" s="541"/>
      <c r="L35" s="541"/>
      <c r="M35" s="541"/>
      <c r="N35" s="541"/>
      <c r="O35" s="519"/>
      <c r="P35" s="519"/>
      <c r="Q35" s="519"/>
      <c r="R35" s="519"/>
      <c r="S35" s="519"/>
      <c r="T35" s="519"/>
      <c r="U35" s="519"/>
      <c r="V35" s="519"/>
      <c r="W35" s="519"/>
      <c r="X35" s="519"/>
      <c r="Y35" s="519"/>
      <c r="Z35" s="519"/>
      <c r="AA35" s="519"/>
      <c r="AB35" s="519"/>
      <c r="AC35" s="519"/>
    </row>
    <row r="36" spans="1:29" thickBot="1">
      <c r="A36" s="519"/>
      <c r="B36" s="521"/>
      <c r="C36" s="519"/>
      <c r="D36" s="519"/>
      <c r="E36" s="519"/>
      <c r="F36" s="519"/>
      <c r="G36" s="519"/>
      <c r="H36" s="519"/>
      <c r="I36" s="519"/>
      <c r="J36" s="519"/>
      <c r="K36" s="519"/>
      <c r="L36" s="519"/>
      <c r="M36" s="519"/>
      <c r="N36" s="519"/>
      <c r="O36" s="519"/>
      <c r="P36" s="519"/>
      <c r="Q36" s="519"/>
      <c r="R36" s="519"/>
      <c r="S36" s="519"/>
      <c r="T36" s="519"/>
      <c r="U36" s="519"/>
      <c r="V36" s="519"/>
      <c r="W36" s="519"/>
      <c r="X36" s="519"/>
      <c r="Y36" s="519"/>
      <c r="Z36" s="519"/>
      <c r="AA36" s="519"/>
      <c r="AB36" s="519"/>
      <c r="AC36" s="519"/>
    </row>
    <row r="37" spans="1:29" ht="27" customHeight="1" thickTop="1" thickBot="1">
      <c r="A37" s="732" t="s">
        <v>61</v>
      </c>
      <c r="B37" s="620"/>
      <c r="C37" s="620"/>
      <c r="D37" s="620"/>
      <c r="E37" s="621"/>
      <c r="F37" s="519"/>
      <c r="G37" s="519"/>
      <c r="H37" s="734" t="s">
        <v>198</v>
      </c>
      <c r="I37" s="620"/>
      <c r="J37" s="620"/>
      <c r="K37" s="620"/>
      <c r="L37" s="621"/>
      <c r="N37" s="519"/>
      <c r="O37" s="519"/>
      <c r="P37" s="519"/>
      <c r="Q37" s="519"/>
      <c r="R37" s="519"/>
      <c r="S37" s="739" t="s">
        <v>199</v>
      </c>
      <c r="T37" s="740"/>
      <c r="U37" s="740"/>
      <c r="V37" s="740"/>
      <c r="W37" s="741"/>
      <c r="X37" s="519"/>
      <c r="Y37" s="739" t="s">
        <v>198</v>
      </c>
      <c r="Z37" s="740"/>
      <c r="AA37" s="740"/>
      <c r="AB37" s="740"/>
      <c r="AC37" s="741"/>
    </row>
    <row r="38" spans="1:29" ht="70.2" customHeight="1" thickBot="1">
      <c r="A38" s="543" t="s">
        <v>172</v>
      </c>
      <c r="B38" s="544" t="s">
        <v>173</v>
      </c>
      <c r="C38" s="544" t="s">
        <v>174</v>
      </c>
      <c r="D38" s="544" t="s">
        <v>175</v>
      </c>
      <c r="E38" s="545" t="s">
        <v>176</v>
      </c>
      <c r="F38" s="519"/>
      <c r="G38" s="519"/>
      <c r="H38" s="546" t="s">
        <v>172</v>
      </c>
      <c r="I38" s="547" t="s">
        <v>173</v>
      </c>
      <c r="J38" s="547" t="s">
        <v>174</v>
      </c>
      <c r="K38" s="547" t="s">
        <v>175</v>
      </c>
      <c r="L38" s="548" t="s">
        <v>176</v>
      </c>
      <c r="N38" s="519"/>
      <c r="O38" s="519"/>
      <c r="P38" s="519"/>
      <c r="Q38" s="519"/>
      <c r="R38" s="519"/>
      <c r="S38" s="730" t="s">
        <v>177</v>
      </c>
      <c r="T38" s="731"/>
      <c r="U38" s="549" t="s">
        <v>34</v>
      </c>
      <c r="V38" s="549" t="s">
        <v>178</v>
      </c>
      <c r="W38" s="550" t="s">
        <v>179</v>
      </c>
      <c r="X38" s="519"/>
      <c r="Y38" s="730" t="s">
        <v>177</v>
      </c>
      <c r="Z38" s="731"/>
      <c r="AA38" s="549" t="s">
        <v>34</v>
      </c>
      <c r="AB38" s="549" t="s">
        <v>178</v>
      </c>
      <c r="AC38" s="550" t="s">
        <v>179</v>
      </c>
    </row>
    <row r="39" spans="1:29" thickBot="1">
      <c r="A39" s="551">
        <v>1</v>
      </c>
      <c r="B39" s="552" t="s">
        <v>200</v>
      </c>
      <c r="C39" s="197">
        <v>0.25</v>
      </c>
      <c r="D39" s="197">
        <v>1</v>
      </c>
      <c r="E39" s="553">
        <f t="shared" ref="E39:E50" si="1">D39*C39</f>
        <v>0.25</v>
      </c>
      <c r="F39" s="519"/>
      <c r="G39" s="519"/>
      <c r="H39" s="551">
        <v>1</v>
      </c>
      <c r="I39" s="552" t="s">
        <v>181</v>
      </c>
      <c r="J39" s="197">
        <v>0.05</v>
      </c>
      <c r="K39" s="197">
        <v>1</v>
      </c>
      <c r="L39" s="553">
        <f t="shared" ref="L39:L44" si="2">K39*J39</f>
        <v>0.05</v>
      </c>
      <c r="N39" s="519"/>
      <c r="O39" s="519"/>
      <c r="P39" s="519"/>
      <c r="Q39" s="519"/>
      <c r="R39" s="519"/>
      <c r="S39" s="738" t="s">
        <v>201</v>
      </c>
      <c r="T39" s="683"/>
      <c r="U39" s="198">
        <v>1</v>
      </c>
      <c r="V39" s="554">
        <v>14</v>
      </c>
      <c r="W39" s="555">
        <f>V39*U39</f>
        <v>14</v>
      </c>
      <c r="X39" s="519"/>
      <c r="Y39" s="738" t="s">
        <v>183</v>
      </c>
      <c r="Z39" s="683"/>
      <c r="AA39" s="556">
        <f>$L$51</f>
        <v>0.25</v>
      </c>
      <c r="AB39" s="557">
        <f>$P$3</f>
        <v>6</v>
      </c>
      <c r="AC39" s="558">
        <f>AB39*AA39</f>
        <v>1.5</v>
      </c>
    </row>
    <row r="40" spans="1:29" ht="29.4" customHeight="1" thickBot="1">
      <c r="A40" s="559">
        <v>2</v>
      </c>
      <c r="B40" s="560" t="s">
        <v>202</v>
      </c>
      <c r="C40" s="561">
        <v>0.5</v>
      </c>
      <c r="D40" s="561">
        <v>1</v>
      </c>
      <c r="E40" s="553">
        <f t="shared" si="1"/>
        <v>0.5</v>
      </c>
      <c r="F40" s="519"/>
      <c r="G40" s="519"/>
      <c r="H40" s="559">
        <v>2</v>
      </c>
      <c r="I40" s="560" t="s">
        <v>203</v>
      </c>
      <c r="J40" s="561">
        <v>7.0000000000000007E-2</v>
      </c>
      <c r="K40" s="561">
        <v>1</v>
      </c>
      <c r="L40" s="553">
        <f t="shared" si="2"/>
        <v>7.0000000000000007E-2</v>
      </c>
      <c r="N40" s="519"/>
      <c r="O40" s="519"/>
      <c r="P40" s="519"/>
      <c r="Q40" s="519"/>
      <c r="R40" s="519"/>
      <c r="S40" s="562" t="s">
        <v>204</v>
      </c>
      <c r="T40" s="195"/>
      <c r="U40" s="195">
        <v>1</v>
      </c>
      <c r="V40" s="563">
        <v>9</v>
      </c>
      <c r="W40" s="564">
        <f>V40*U40</f>
        <v>9</v>
      </c>
      <c r="X40" s="519"/>
      <c r="Y40" s="729"/>
      <c r="Z40" s="645"/>
      <c r="AA40" s="195"/>
      <c r="AB40" s="195"/>
      <c r="AC40" s="565"/>
    </row>
    <row r="41" spans="1:29" ht="29.4" customHeight="1" thickBot="1">
      <c r="A41" s="559">
        <v>3</v>
      </c>
      <c r="B41" s="589" t="s">
        <v>205</v>
      </c>
      <c r="C41" s="561">
        <v>0.75</v>
      </c>
      <c r="D41" s="561">
        <v>1</v>
      </c>
      <c r="E41" s="553">
        <f t="shared" si="1"/>
        <v>0.75</v>
      </c>
      <c r="F41" s="519"/>
      <c r="G41" s="519"/>
      <c r="H41" s="559">
        <v>3</v>
      </c>
      <c r="I41" s="560" t="s">
        <v>185</v>
      </c>
      <c r="J41" s="561">
        <v>0.08</v>
      </c>
      <c r="K41" s="561">
        <v>1</v>
      </c>
      <c r="L41" s="553">
        <f t="shared" si="2"/>
        <v>0.08</v>
      </c>
      <c r="N41" s="519"/>
      <c r="O41" s="519"/>
      <c r="P41" s="519"/>
      <c r="Q41" s="519"/>
      <c r="R41" s="519"/>
      <c r="S41" s="562" t="s">
        <v>206</v>
      </c>
      <c r="T41" s="195"/>
      <c r="U41" s="195">
        <v>1</v>
      </c>
      <c r="V41" s="563">
        <v>7</v>
      </c>
      <c r="W41" s="564">
        <f>V41*U41</f>
        <v>7</v>
      </c>
      <c r="X41" s="519"/>
      <c r="Y41" s="729"/>
      <c r="Z41" s="645"/>
      <c r="AA41" s="195"/>
      <c r="AB41" s="195"/>
      <c r="AC41" s="565"/>
    </row>
    <row r="42" spans="1:29" ht="29.4" customHeight="1" thickBot="1">
      <c r="A42" s="559">
        <v>4</v>
      </c>
      <c r="B42" s="560" t="s">
        <v>207</v>
      </c>
      <c r="C42" s="561">
        <v>0.5</v>
      </c>
      <c r="D42" s="561">
        <v>1</v>
      </c>
      <c r="E42" s="553">
        <f t="shared" si="1"/>
        <v>0.5</v>
      </c>
      <c r="F42" s="519"/>
      <c r="G42" s="519"/>
      <c r="H42" s="559">
        <v>4</v>
      </c>
      <c r="I42" s="560" t="s">
        <v>187</v>
      </c>
      <c r="J42" s="561">
        <v>0.05</v>
      </c>
      <c r="K42" s="561">
        <v>1</v>
      </c>
      <c r="L42" s="553">
        <f t="shared" si="2"/>
        <v>0.05</v>
      </c>
      <c r="N42" s="519"/>
      <c r="O42" s="519"/>
      <c r="P42" s="519"/>
      <c r="Q42" s="519"/>
      <c r="R42" s="519"/>
      <c r="S42" s="729" t="s">
        <v>208</v>
      </c>
      <c r="T42" s="645"/>
      <c r="U42" s="566">
        <v>1</v>
      </c>
      <c r="V42" s="563">
        <v>4</v>
      </c>
      <c r="W42" s="564">
        <f>V42*U42</f>
        <v>4</v>
      </c>
      <c r="X42" s="519"/>
      <c r="Y42" s="729"/>
      <c r="Z42" s="645"/>
      <c r="AA42" s="195"/>
      <c r="AB42" s="195"/>
      <c r="AC42" s="565"/>
    </row>
    <row r="43" spans="1:29" ht="29.4" customHeight="1" thickBot="1">
      <c r="A43" s="559">
        <v>5</v>
      </c>
      <c r="B43" s="560" t="s">
        <v>186</v>
      </c>
      <c r="C43" s="561">
        <v>0.25</v>
      </c>
      <c r="D43" s="561">
        <v>1</v>
      </c>
      <c r="E43" s="553">
        <f t="shared" si="1"/>
        <v>0.25</v>
      </c>
      <c r="F43" s="519"/>
      <c r="G43" s="519"/>
      <c r="H43" s="559">
        <v>5</v>
      </c>
      <c r="I43" s="560"/>
      <c r="J43" s="561"/>
      <c r="K43" s="561"/>
      <c r="L43" s="553">
        <f t="shared" si="2"/>
        <v>0</v>
      </c>
      <c r="M43" s="519"/>
      <c r="N43" s="519"/>
      <c r="O43" s="519"/>
      <c r="P43" s="519"/>
      <c r="Q43" s="519"/>
      <c r="R43" s="519"/>
      <c r="S43" s="729" t="s">
        <v>182</v>
      </c>
      <c r="T43" s="645"/>
      <c r="U43" s="195">
        <f>$E$51</f>
        <v>3</v>
      </c>
      <c r="V43" s="563">
        <f>$P$3</f>
        <v>6</v>
      </c>
      <c r="W43" s="564">
        <f>V43*U43</f>
        <v>18</v>
      </c>
      <c r="X43" s="519"/>
      <c r="Y43" s="729"/>
      <c r="Z43" s="645"/>
      <c r="AA43" s="195"/>
      <c r="AB43" s="195"/>
      <c r="AC43" s="565"/>
    </row>
    <row r="44" spans="1:29" thickBot="1">
      <c r="A44" s="559">
        <v>6</v>
      </c>
      <c r="B44" s="560" t="s">
        <v>209</v>
      </c>
      <c r="C44" s="561">
        <v>0.5</v>
      </c>
      <c r="D44" s="561">
        <v>1</v>
      </c>
      <c r="E44" s="553">
        <f t="shared" si="1"/>
        <v>0.5</v>
      </c>
      <c r="F44" s="519"/>
      <c r="G44" s="519"/>
      <c r="H44" s="559">
        <v>6</v>
      </c>
      <c r="I44" s="560"/>
      <c r="J44" s="561"/>
      <c r="K44" s="561"/>
      <c r="L44" s="553">
        <f t="shared" si="2"/>
        <v>0</v>
      </c>
      <c r="M44" s="519"/>
      <c r="N44" s="519"/>
      <c r="O44" s="519"/>
      <c r="P44" s="519"/>
      <c r="Q44" s="519"/>
      <c r="R44" s="519"/>
      <c r="S44" s="729"/>
      <c r="T44" s="645"/>
      <c r="U44" s="195"/>
      <c r="V44" s="195"/>
      <c r="W44" s="565"/>
      <c r="X44" s="519"/>
      <c r="Y44" s="729"/>
      <c r="Z44" s="645"/>
      <c r="AA44" s="195"/>
      <c r="AB44" s="195"/>
      <c r="AC44" s="565"/>
    </row>
    <row r="45" spans="1:29" thickBot="1">
      <c r="A45" s="567">
        <v>7</v>
      </c>
      <c r="B45" s="568" t="s">
        <v>210</v>
      </c>
      <c r="C45" s="569">
        <v>0.25</v>
      </c>
      <c r="D45" s="569">
        <v>1</v>
      </c>
      <c r="E45" s="553">
        <f t="shared" si="1"/>
        <v>0.25</v>
      </c>
      <c r="F45" s="519"/>
      <c r="G45" s="519"/>
      <c r="H45" s="559">
        <v>7</v>
      </c>
      <c r="I45" s="560"/>
      <c r="J45" s="561"/>
      <c r="K45" s="561"/>
      <c r="L45" s="553">
        <v>0</v>
      </c>
      <c r="M45" s="519"/>
      <c r="N45" s="519"/>
      <c r="O45" s="519"/>
      <c r="P45" s="519"/>
      <c r="Q45" s="519"/>
      <c r="R45" s="519"/>
      <c r="S45" s="729"/>
      <c r="T45" s="645"/>
      <c r="U45" s="195"/>
      <c r="V45" s="195"/>
      <c r="W45" s="565"/>
      <c r="X45" s="519"/>
      <c r="Y45" s="729"/>
      <c r="Z45" s="645"/>
      <c r="AA45" s="195"/>
      <c r="AB45" s="195"/>
      <c r="AC45" s="565"/>
    </row>
    <row r="46" spans="1:29" thickBot="1">
      <c r="A46" s="567">
        <v>8</v>
      </c>
      <c r="B46" s="568"/>
      <c r="C46" s="569"/>
      <c r="D46" s="569"/>
      <c r="E46" s="553">
        <f t="shared" si="1"/>
        <v>0</v>
      </c>
      <c r="F46" s="519"/>
      <c r="G46" s="519"/>
      <c r="H46" s="559">
        <v>8</v>
      </c>
      <c r="I46" s="560"/>
      <c r="J46" s="561"/>
      <c r="K46" s="561"/>
      <c r="L46" s="553">
        <v>0</v>
      </c>
      <c r="M46" s="519"/>
      <c r="N46" s="519"/>
      <c r="O46" s="519"/>
      <c r="P46" s="519"/>
      <c r="Q46" s="519"/>
      <c r="R46" s="519"/>
      <c r="S46" s="733"/>
      <c r="T46" s="703"/>
      <c r="U46" s="200"/>
      <c r="V46" s="200"/>
      <c r="W46" s="570"/>
      <c r="X46" s="519"/>
      <c r="Y46" s="733"/>
      <c r="Z46" s="703"/>
      <c r="AA46" s="200"/>
      <c r="AB46" s="200"/>
      <c r="AC46" s="570"/>
    </row>
    <row r="47" spans="1:29" thickBot="1">
      <c r="A47" s="567">
        <v>9</v>
      </c>
      <c r="B47" s="568"/>
      <c r="C47" s="569"/>
      <c r="D47" s="569"/>
      <c r="E47" s="553">
        <f t="shared" si="1"/>
        <v>0</v>
      </c>
      <c r="F47" s="519"/>
      <c r="G47" s="519"/>
      <c r="H47" s="559">
        <v>9</v>
      </c>
      <c r="I47" s="560"/>
      <c r="J47" s="561"/>
      <c r="K47" s="561"/>
      <c r="L47" s="553">
        <v>0</v>
      </c>
      <c r="M47" s="519"/>
      <c r="N47" s="519"/>
      <c r="O47" s="519"/>
      <c r="P47" s="519"/>
      <c r="Q47" s="519"/>
      <c r="R47" s="519"/>
      <c r="S47" s="744" t="s">
        <v>190</v>
      </c>
      <c r="T47" s="745"/>
      <c r="U47" s="571"/>
      <c r="V47" s="571"/>
      <c r="W47" s="572">
        <f>SUM(W39:W44)</f>
        <v>52</v>
      </c>
      <c r="X47" s="519"/>
      <c r="Y47" s="744" t="s">
        <v>190</v>
      </c>
      <c r="Z47" s="745"/>
      <c r="AA47" s="571"/>
      <c r="AB47" s="571"/>
      <c r="AC47" s="573">
        <f>SUM(AC39:AC44)</f>
        <v>1.5</v>
      </c>
    </row>
    <row r="48" spans="1:29" ht="15.6" customHeight="1" thickTop="1" thickBot="1">
      <c r="A48" s="574">
        <v>10</v>
      </c>
      <c r="B48" s="575"/>
      <c r="C48" s="576"/>
      <c r="D48" s="576"/>
      <c r="E48" s="553">
        <f t="shared" si="1"/>
        <v>0</v>
      </c>
      <c r="F48" s="519"/>
      <c r="G48" s="519"/>
      <c r="H48" s="559">
        <v>10</v>
      </c>
      <c r="I48" s="560"/>
      <c r="J48" s="561"/>
      <c r="K48" s="561"/>
      <c r="L48" s="553">
        <v>0</v>
      </c>
      <c r="M48" s="519"/>
      <c r="N48" s="519"/>
      <c r="O48" s="519"/>
      <c r="P48" s="519"/>
      <c r="Q48" s="519"/>
      <c r="R48" s="519"/>
      <c r="S48" s="519"/>
      <c r="T48" s="519"/>
      <c r="U48" s="519"/>
      <c r="V48" s="519"/>
      <c r="W48" s="519"/>
      <c r="X48" s="519"/>
      <c r="Y48" s="519"/>
      <c r="Z48" s="519"/>
      <c r="AA48" s="519"/>
      <c r="AB48" s="519"/>
      <c r="AC48" s="519"/>
    </row>
    <row r="49" spans="1:29" thickBot="1">
      <c r="A49" s="574">
        <v>11</v>
      </c>
      <c r="B49" s="575"/>
      <c r="C49" s="576"/>
      <c r="D49" s="576"/>
      <c r="E49" s="553">
        <f t="shared" si="1"/>
        <v>0</v>
      </c>
      <c r="F49" s="519"/>
      <c r="G49" s="519"/>
      <c r="H49" s="559">
        <v>11</v>
      </c>
      <c r="I49" s="560"/>
      <c r="J49" s="561"/>
      <c r="K49" s="561"/>
      <c r="L49" s="553">
        <v>0</v>
      </c>
      <c r="M49" s="519"/>
      <c r="N49" s="519"/>
      <c r="O49" s="519"/>
      <c r="P49" s="519"/>
      <c r="Q49" s="519"/>
      <c r="R49" s="519"/>
      <c r="S49" s="519"/>
      <c r="T49" s="519"/>
      <c r="U49" s="519"/>
      <c r="V49" s="519"/>
      <c r="W49" s="519"/>
      <c r="X49" s="519"/>
      <c r="Y49" s="519"/>
      <c r="Z49" s="519"/>
      <c r="AA49" s="519"/>
      <c r="AB49" s="519"/>
      <c r="AC49" s="519"/>
    </row>
    <row r="50" spans="1:29" thickBot="1">
      <c r="A50" s="577">
        <v>12</v>
      </c>
      <c r="B50" s="578"/>
      <c r="C50" s="579"/>
      <c r="D50" s="579"/>
      <c r="E50" s="553">
        <f t="shared" si="1"/>
        <v>0</v>
      </c>
      <c r="F50" s="519"/>
      <c r="G50" s="519"/>
      <c r="H50" s="559">
        <v>12</v>
      </c>
      <c r="I50" s="560"/>
      <c r="J50" s="561"/>
      <c r="K50" s="561"/>
      <c r="L50" s="553">
        <v>0</v>
      </c>
      <c r="M50" s="519"/>
      <c r="N50" s="519"/>
      <c r="O50" s="519"/>
      <c r="P50" s="519"/>
      <c r="Q50" s="519"/>
      <c r="R50" s="519"/>
      <c r="S50" s="519"/>
      <c r="T50" s="519"/>
      <c r="U50" s="519"/>
      <c r="V50" s="519"/>
      <c r="W50" s="519"/>
      <c r="X50" s="519"/>
      <c r="Y50" s="519"/>
      <c r="Z50" s="519"/>
      <c r="AA50" s="519"/>
      <c r="AB50" s="519"/>
      <c r="AC50" s="519"/>
    </row>
    <row r="51" spans="1:29" ht="58.2" customHeight="1" thickBot="1">
      <c r="A51" s="736" t="s">
        <v>211</v>
      </c>
      <c r="B51" s="726"/>
      <c r="C51" s="639"/>
      <c r="D51" s="543" t="s">
        <v>192</v>
      </c>
      <c r="E51" s="590">
        <f>SUM(E39:E50)</f>
        <v>3</v>
      </c>
      <c r="F51" s="519" t="s">
        <v>193</v>
      </c>
      <c r="G51" s="519"/>
      <c r="H51" s="727" t="s">
        <v>212</v>
      </c>
      <c r="I51" s="636"/>
      <c r="J51" s="637"/>
      <c r="K51" s="543" t="s">
        <v>195</v>
      </c>
      <c r="L51" s="580">
        <f>SUM(L39:L50)</f>
        <v>0.25</v>
      </c>
      <c r="M51" s="519"/>
      <c r="N51" s="519"/>
      <c r="O51" s="519"/>
      <c r="P51" s="519"/>
      <c r="Q51" s="519"/>
      <c r="R51" s="519"/>
      <c r="S51" s="519"/>
      <c r="T51" s="519"/>
      <c r="U51" s="519"/>
      <c r="V51" s="519"/>
      <c r="W51" s="519"/>
      <c r="X51" s="519"/>
      <c r="Y51" s="519"/>
      <c r="Z51" s="519"/>
      <c r="AA51" s="519"/>
      <c r="AB51" s="519"/>
      <c r="AC51" s="519"/>
    </row>
    <row r="52" spans="1:29" ht="58.2" customHeight="1" thickBot="1">
      <c r="A52" s="640"/>
      <c r="B52" s="641"/>
      <c r="C52" s="642"/>
      <c r="D52" s="533" t="s">
        <v>213</v>
      </c>
      <c r="E52" s="581">
        <f>E51/$B$14</f>
        <v>0.02</v>
      </c>
      <c r="F52" s="582">
        <f>$P$3*E51</f>
        <v>18</v>
      </c>
      <c r="G52" s="519"/>
      <c r="H52" s="640"/>
      <c r="I52" s="641"/>
      <c r="J52" s="642"/>
      <c r="K52" s="533" t="s">
        <v>197</v>
      </c>
      <c r="L52" s="591">
        <f>L51/$B$14</f>
        <v>1.6666666666666668E-3</v>
      </c>
      <c r="M52" s="583"/>
      <c r="N52" s="519"/>
      <c r="O52" s="519"/>
      <c r="P52" s="519"/>
      <c r="Q52" s="519"/>
      <c r="R52" s="519"/>
      <c r="S52" s="519"/>
      <c r="T52" s="519"/>
      <c r="U52" s="519"/>
      <c r="V52" s="519"/>
      <c r="W52" s="519"/>
      <c r="X52" s="519"/>
      <c r="Y52" s="519"/>
      <c r="Z52" s="519"/>
      <c r="AA52" s="519"/>
      <c r="AB52" s="519"/>
      <c r="AC52" s="519"/>
    </row>
    <row r="53" spans="1:29" ht="14.4" customHeight="1">
      <c r="A53" s="519"/>
      <c r="B53" s="521"/>
      <c r="C53" s="519"/>
      <c r="D53" s="519"/>
      <c r="E53" s="519"/>
      <c r="F53" s="519"/>
      <c r="G53" s="519"/>
      <c r="H53" s="519"/>
      <c r="I53" s="519"/>
      <c r="J53" s="519"/>
      <c r="K53" s="519"/>
      <c r="L53" s="519"/>
      <c r="M53" s="519"/>
      <c r="N53" s="519"/>
      <c r="O53" s="519"/>
      <c r="P53" s="519"/>
      <c r="Q53" s="519"/>
      <c r="R53" s="519"/>
      <c r="S53" s="519"/>
      <c r="T53" s="519"/>
      <c r="U53" s="519"/>
      <c r="V53" s="519"/>
      <c r="W53" s="519"/>
      <c r="X53" s="519"/>
      <c r="Y53" s="519"/>
      <c r="Z53" s="519"/>
      <c r="AA53" s="519"/>
      <c r="AB53" s="519"/>
      <c r="AC53" s="519"/>
    </row>
    <row r="54" spans="1:29" ht="14.4" customHeight="1">
      <c r="A54" s="541"/>
      <c r="B54" s="586"/>
      <c r="C54" s="541"/>
      <c r="D54" s="541"/>
      <c r="E54" s="541"/>
      <c r="F54" s="541"/>
      <c r="G54" s="541"/>
      <c r="H54" s="541"/>
      <c r="I54" s="541"/>
      <c r="J54" s="541"/>
      <c r="K54" s="541"/>
      <c r="L54" s="541"/>
      <c r="M54" s="541"/>
      <c r="N54" s="541"/>
      <c r="O54" s="519"/>
      <c r="P54" s="519"/>
      <c r="Q54" s="519"/>
      <c r="R54" s="519"/>
      <c r="S54" s="519"/>
      <c r="T54" s="519"/>
      <c r="U54" s="519"/>
      <c r="V54" s="519"/>
      <c r="W54" s="519"/>
      <c r="X54" s="519"/>
      <c r="Y54" s="519"/>
      <c r="Z54" s="519"/>
      <c r="AA54" s="519"/>
      <c r="AB54" s="519"/>
      <c r="AC54" s="519"/>
    </row>
    <row r="55" spans="1:29" thickBot="1">
      <c r="A55" s="519"/>
      <c r="B55" s="521"/>
      <c r="C55" s="519"/>
      <c r="D55" s="519"/>
      <c r="E55" s="519"/>
      <c r="F55" s="519"/>
      <c r="G55" s="519"/>
      <c r="H55" s="519"/>
      <c r="I55" s="519"/>
      <c r="J55" s="519"/>
      <c r="K55" s="519"/>
      <c r="L55" s="519"/>
      <c r="M55" s="519"/>
      <c r="N55" s="519"/>
      <c r="O55" s="519"/>
      <c r="P55" s="519"/>
      <c r="Q55" s="519"/>
      <c r="R55" s="519"/>
      <c r="S55" s="519"/>
      <c r="T55" s="519"/>
      <c r="U55" s="519"/>
      <c r="V55" s="519"/>
      <c r="W55" s="519"/>
      <c r="X55" s="519"/>
      <c r="Y55" s="519"/>
      <c r="Z55" s="519"/>
      <c r="AA55" s="519"/>
      <c r="AB55" s="519"/>
      <c r="AC55" s="519"/>
    </row>
    <row r="56" spans="1:29" ht="27" customHeight="1" thickTop="1" thickBot="1">
      <c r="A56" s="732" t="s">
        <v>63</v>
      </c>
      <c r="B56" s="620"/>
      <c r="C56" s="620"/>
      <c r="D56" s="620"/>
      <c r="E56" s="621"/>
      <c r="F56" s="519"/>
      <c r="G56" s="519"/>
      <c r="H56" s="734" t="s">
        <v>214</v>
      </c>
      <c r="I56" s="620"/>
      <c r="J56" s="620"/>
      <c r="K56" s="620"/>
      <c r="L56" s="621"/>
      <c r="M56" s="519"/>
      <c r="N56" s="519"/>
      <c r="O56" s="519"/>
      <c r="P56" s="519"/>
      <c r="Q56" s="519"/>
      <c r="R56" s="519"/>
      <c r="S56" s="739" t="s">
        <v>215</v>
      </c>
      <c r="T56" s="740"/>
      <c r="U56" s="740"/>
      <c r="V56" s="740"/>
      <c r="W56" s="741"/>
      <c r="X56" s="519"/>
      <c r="Y56" s="739" t="s">
        <v>214</v>
      </c>
      <c r="Z56" s="740"/>
      <c r="AA56" s="740"/>
      <c r="AB56" s="740"/>
      <c r="AC56" s="741"/>
    </row>
    <row r="57" spans="1:29" ht="43.8" customHeight="1" thickBot="1">
      <c r="A57" s="543" t="s">
        <v>172</v>
      </c>
      <c r="B57" s="544" t="s">
        <v>173</v>
      </c>
      <c r="C57" s="544" t="s">
        <v>174</v>
      </c>
      <c r="D57" s="544" t="s">
        <v>175</v>
      </c>
      <c r="E57" s="545" t="s">
        <v>176</v>
      </c>
      <c r="F57" s="519"/>
      <c r="G57" s="519"/>
      <c r="H57" s="546" t="s">
        <v>172</v>
      </c>
      <c r="I57" s="547" t="s">
        <v>173</v>
      </c>
      <c r="J57" s="547" t="s">
        <v>174</v>
      </c>
      <c r="K57" s="547" t="s">
        <v>175</v>
      </c>
      <c r="L57" s="548" t="s">
        <v>176</v>
      </c>
      <c r="M57" s="519"/>
      <c r="N57" s="519"/>
      <c r="O57" s="519"/>
      <c r="P57" s="519"/>
      <c r="Q57" s="519"/>
      <c r="R57" s="519"/>
      <c r="S57" s="730" t="s">
        <v>177</v>
      </c>
      <c r="T57" s="731"/>
      <c r="U57" s="549" t="s">
        <v>34</v>
      </c>
      <c r="V57" s="549" t="s">
        <v>178</v>
      </c>
      <c r="W57" s="550" t="s">
        <v>179</v>
      </c>
      <c r="X57" s="519"/>
      <c r="Y57" s="730" t="s">
        <v>177</v>
      </c>
      <c r="Z57" s="731"/>
      <c r="AA57" s="549" t="s">
        <v>34</v>
      </c>
      <c r="AB57" s="549" t="s">
        <v>178</v>
      </c>
      <c r="AC57" s="550" t="s">
        <v>179</v>
      </c>
    </row>
    <row r="58" spans="1:29" thickBot="1">
      <c r="A58" s="551">
        <v>1</v>
      </c>
      <c r="B58" s="552" t="s">
        <v>216</v>
      </c>
      <c r="C58" s="197">
        <v>1</v>
      </c>
      <c r="D58" s="197">
        <v>1</v>
      </c>
      <c r="E58" s="553">
        <f t="shared" ref="E58:E69" si="3">D58*C58</f>
        <v>1</v>
      </c>
      <c r="F58" s="519"/>
      <c r="G58" s="519"/>
      <c r="H58" s="551">
        <v>1</v>
      </c>
      <c r="I58" s="552" t="s">
        <v>217</v>
      </c>
      <c r="J58" s="197">
        <v>0.04</v>
      </c>
      <c r="K58" s="197">
        <v>5</v>
      </c>
      <c r="L58" s="553">
        <f t="shared" ref="L58:L65" si="4">K58*J58</f>
        <v>0.2</v>
      </c>
      <c r="M58" s="519"/>
      <c r="N58" s="519"/>
      <c r="O58" s="519"/>
      <c r="P58" s="519"/>
      <c r="Q58" s="519"/>
      <c r="R58" s="519"/>
      <c r="S58" s="738" t="s">
        <v>201</v>
      </c>
      <c r="T58" s="683"/>
      <c r="U58" s="198">
        <v>5</v>
      </c>
      <c r="V58" s="554">
        <v>14</v>
      </c>
      <c r="W58" s="555">
        <f>V58*U58</f>
        <v>70</v>
      </c>
      <c r="X58" s="519"/>
      <c r="Y58" s="738" t="s">
        <v>183</v>
      </c>
      <c r="Z58" s="683"/>
      <c r="AA58" s="198">
        <f>$L$70</f>
        <v>0.6</v>
      </c>
      <c r="AB58" s="557">
        <f>$P$3</f>
        <v>6</v>
      </c>
      <c r="AC58" s="558">
        <f>AB58*AA58</f>
        <v>3.5999999999999996</v>
      </c>
    </row>
    <row r="59" spans="1:29" ht="29.4" customHeight="1" thickBot="1">
      <c r="A59" s="559">
        <v>2</v>
      </c>
      <c r="B59" s="560" t="s">
        <v>218</v>
      </c>
      <c r="C59" s="561">
        <v>0.5</v>
      </c>
      <c r="D59" s="561">
        <v>1</v>
      </c>
      <c r="E59" s="553">
        <f t="shared" si="3"/>
        <v>0.5</v>
      </c>
      <c r="F59" s="519"/>
      <c r="G59" s="519"/>
      <c r="H59" s="559">
        <v>2</v>
      </c>
      <c r="I59" s="560" t="s">
        <v>219</v>
      </c>
      <c r="J59" s="561">
        <v>0.03</v>
      </c>
      <c r="K59" s="561">
        <v>5</v>
      </c>
      <c r="L59" s="553">
        <f t="shared" si="4"/>
        <v>0.15</v>
      </c>
      <c r="M59" s="519"/>
      <c r="N59" s="519"/>
      <c r="O59" s="519"/>
      <c r="P59" s="519"/>
      <c r="Q59" s="519"/>
      <c r="R59" s="519"/>
      <c r="S59" s="562" t="s">
        <v>204</v>
      </c>
      <c r="T59" s="195"/>
      <c r="U59" s="195">
        <v>5</v>
      </c>
      <c r="V59" s="563">
        <v>9</v>
      </c>
      <c r="W59" s="564">
        <f>V59*U59</f>
        <v>45</v>
      </c>
      <c r="X59" s="519"/>
      <c r="Y59" s="729"/>
      <c r="Z59" s="645"/>
      <c r="AA59" s="195"/>
      <c r="AB59" s="195"/>
      <c r="AC59" s="565"/>
    </row>
    <row r="60" spans="1:29" ht="29.4" customHeight="1" thickBot="1">
      <c r="A60" s="559">
        <v>3</v>
      </c>
      <c r="B60" s="592" t="s">
        <v>220</v>
      </c>
      <c r="C60" s="561">
        <v>0.5</v>
      </c>
      <c r="D60" s="561">
        <v>5</v>
      </c>
      <c r="E60" s="553">
        <f t="shared" si="3"/>
        <v>2.5</v>
      </c>
      <c r="F60" s="519"/>
      <c r="G60" s="519"/>
      <c r="H60" s="559">
        <v>3</v>
      </c>
      <c r="I60" s="560" t="s">
        <v>221</v>
      </c>
      <c r="J60" s="561">
        <v>0.1</v>
      </c>
      <c r="K60" s="561">
        <v>1</v>
      </c>
      <c r="L60" s="553">
        <f t="shared" si="4"/>
        <v>0.1</v>
      </c>
      <c r="M60" s="519"/>
      <c r="N60" s="519"/>
      <c r="O60" s="519"/>
      <c r="P60" s="519"/>
      <c r="Q60" s="519"/>
      <c r="R60" s="519"/>
      <c r="S60" s="562" t="s">
        <v>206</v>
      </c>
      <c r="T60" s="195"/>
      <c r="U60" s="195">
        <v>5</v>
      </c>
      <c r="V60" s="563">
        <v>7</v>
      </c>
      <c r="W60" s="564">
        <f>V60*U60</f>
        <v>35</v>
      </c>
      <c r="X60" s="519"/>
      <c r="Y60" s="729"/>
      <c r="Z60" s="645"/>
      <c r="AA60" s="195"/>
      <c r="AB60" s="195"/>
      <c r="AC60" s="565"/>
    </row>
    <row r="61" spans="1:29" ht="29.4" customHeight="1" thickBot="1">
      <c r="A61" s="559">
        <v>4</v>
      </c>
      <c r="B61" s="560" t="s">
        <v>222</v>
      </c>
      <c r="C61" s="561">
        <v>0.75</v>
      </c>
      <c r="D61" s="561">
        <v>5</v>
      </c>
      <c r="E61" s="553">
        <f t="shared" si="3"/>
        <v>3.75</v>
      </c>
      <c r="F61" s="519"/>
      <c r="G61" s="519"/>
      <c r="H61" s="559">
        <v>4</v>
      </c>
      <c r="I61" s="560" t="s">
        <v>223</v>
      </c>
      <c r="J61" s="561">
        <v>0.15</v>
      </c>
      <c r="K61" s="561">
        <v>1</v>
      </c>
      <c r="L61" s="553">
        <f t="shared" si="4"/>
        <v>0.15</v>
      </c>
      <c r="M61" s="519"/>
      <c r="N61" s="519"/>
      <c r="O61" s="519"/>
      <c r="P61" s="519"/>
      <c r="Q61" s="519"/>
      <c r="R61" s="519"/>
      <c r="S61" s="729" t="s">
        <v>208</v>
      </c>
      <c r="T61" s="645"/>
      <c r="U61" s="195">
        <v>5</v>
      </c>
      <c r="V61" s="563">
        <v>4</v>
      </c>
      <c r="W61" s="564">
        <f>V61*U61</f>
        <v>20</v>
      </c>
      <c r="X61" s="519"/>
      <c r="Y61" s="729"/>
      <c r="Z61" s="645"/>
      <c r="AA61" s="195"/>
      <c r="AB61" s="195"/>
      <c r="AC61" s="565"/>
    </row>
    <row r="62" spans="1:29" thickBot="1">
      <c r="A62" s="559">
        <v>5</v>
      </c>
      <c r="B62" s="560" t="s">
        <v>207</v>
      </c>
      <c r="C62" s="561">
        <v>0.4</v>
      </c>
      <c r="D62" s="561">
        <v>5</v>
      </c>
      <c r="E62" s="553">
        <f t="shared" si="3"/>
        <v>2</v>
      </c>
      <c r="F62" s="519"/>
      <c r="G62" s="519"/>
      <c r="H62" s="559">
        <v>5</v>
      </c>
      <c r="I62" s="560"/>
      <c r="J62" s="561"/>
      <c r="K62" s="561"/>
      <c r="L62" s="553">
        <f t="shared" si="4"/>
        <v>0</v>
      </c>
      <c r="M62" s="519"/>
      <c r="N62" s="519"/>
      <c r="O62" s="519"/>
      <c r="P62" s="519"/>
      <c r="Q62" s="519"/>
      <c r="R62" s="519"/>
      <c r="S62" s="729" t="s">
        <v>182</v>
      </c>
      <c r="T62" s="645"/>
      <c r="U62" s="195">
        <f>$E$70</f>
        <v>12</v>
      </c>
      <c r="V62" s="563">
        <f>$P$3</f>
        <v>6</v>
      </c>
      <c r="W62" s="564">
        <f>V62*U62</f>
        <v>72</v>
      </c>
      <c r="X62" s="519"/>
      <c r="Y62" s="729"/>
      <c r="Z62" s="645"/>
      <c r="AA62" s="195"/>
      <c r="AB62" s="195"/>
      <c r="AC62" s="565"/>
    </row>
    <row r="63" spans="1:29" thickBot="1">
      <c r="A63" s="559">
        <v>6</v>
      </c>
      <c r="B63" s="560" t="s">
        <v>224</v>
      </c>
      <c r="C63" s="561">
        <v>0.2</v>
      </c>
      <c r="D63" s="561">
        <v>5</v>
      </c>
      <c r="E63" s="553">
        <f t="shared" si="3"/>
        <v>1</v>
      </c>
      <c r="F63" s="519"/>
      <c r="G63" s="519"/>
      <c r="H63" s="559">
        <v>6</v>
      </c>
      <c r="I63" s="560"/>
      <c r="J63" s="561"/>
      <c r="K63" s="561"/>
      <c r="L63" s="553">
        <f t="shared" si="4"/>
        <v>0</v>
      </c>
      <c r="M63" s="519"/>
      <c r="N63" s="519"/>
      <c r="O63" s="519"/>
      <c r="P63" s="519"/>
      <c r="Q63" s="519"/>
      <c r="R63" s="519"/>
      <c r="S63" s="729"/>
      <c r="T63" s="645"/>
      <c r="U63" s="195"/>
      <c r="V63" s="563"/>
      <c r="W63" s="564"/>
      <c r="X63" s="519"/>
      <c r="Y63" s="729"/>
      <c r="Z63" s="645"/>
      <c r="AA63" s="195"/>
      <c r="AB63" s="195"/>
      <c r="AC63" s="565"/>
    </row>
    <row r="64" spans="1:29" ht="29.4" customHeight="1" thickBot="1">
      <c r="A64" s="567">
        <v>7</v>
      </c>
      <c r="B64" s="568" t="s">
        <v>225</v>
      </c>
      <c r="C64" s="569">
        <v>0.75</v>
      </c>
      <c r="D64" s="569">
        <v>1</v>
      </c>
      <c r="E64" s="553">
        <f t="shared" si="3"/>
        <v>0.75</v>
      </c>
      <c r="F64" s="519"/>
      <c r="G64" s="519"/>
      <c r="H64" s="559">
        <v>7</v>
      </c>
      <c r="I64" s="560"/>
      <c r="J64" s="561"/>
      <c r="K64" s="561"/>
      <c r="L64" s="553">
        <f t="shared" si="4"/>
        <v>0</v>
      </c>
      <c r="M64" s="519"/>
      <c r="N64" s="519"/>
      <c r="O64" s="519"/>
      <c r="P64" s="519"/>
      <c r="Q64" s="519"/>
      <c r="R64" s="519"/>
      <c r="S64" s="733"/>
      <c r="T64" s="703"/>
      <c r="U64" s="593"/>
      <c r="V64" s="594"/>
      <c r="W64" s="595"/>
      <c r="X64" s="519"/>
      <c r="Y64" s="733"/>
      <c r="Z64" s="703"/>
      <c r="AA64" s="200"/>
      <c r="AB64" s="200"/>
      <c r="AC64" s="570"/>
    </row>
    <row r="65" spans="1:29" ht="29.4" customHeight="1" thickBot="1">
      <c r="A65" s="567">
        <v>8</v>
      </c>
      <c r="B65" s="568" t="s">
        <v>226</v>
      </c>
      <c r="C65" s="569">
        <v>0.5</v>
      </c>
      <c r="D65" s="569">
        <v>1</v>
      </c>
      <c r="E65" s="553">
        <f t="shared" si="3"/>
        <v>0.5</v>
      </c>
      <c r="F65" s="519"/>
      <c r="G65" s="519"/>
      <c r="H65" s="559">
        <v>8</v>
      </c>
      <c r="I65" s="560"/>
      <c r="J65" s="561"/>
      <c r="K65" s="561"/>
      <c r="L65" s="553">
        <f t="shared" si="4"/>
        <v>0</v>
      </c>
      <c r="M65" s="519"/>
      <c r="N65" s="519"/>
      <c r="O65" s="519"/>
      <c r="P65" s="519"/>
      <c r="Q65" s="519"/>
      <c r="R65" s="519"/>
      <c r="S65" s="747" t="s">
        <v>190</v>
      </c>
      <c r="T65" s="748"/>
      <c r="U65" s="596"/>
      <c r="V65" s="596"/>
      <c r="W65" s="597">
        <f>SUM(W58:W64)</f>
        <v>242</v>
      </c>
      <c r="X65" s="519"/>
      <c r="Y65" s="747" t="s">
        <v>190</v>
      </c>
      <c r="Z65" s="748"/>
      <c r="AA65" s="596"/>
      <c r="AB65" s="596"/>
      <c r="AC65" s="598">
        <f>SUM(AC58:AC64)</f>
        <v>3.5999999999999996</v>
      </c>
    </row>
    <row r="66" spans="1:29" ht="15.6" customHeight="1" thickTop="1" thickBot="1">
      <c r="A66" s="567">
        <v>9</v>
      </c>
      <c r="B66" s="568"/>
      <c r="C66" s="569"/>
      <c r="D66" s="569"/>
      <c r="E66" s="553">
        <f t="shared" si="3"/>
        <v>0</v>
      </c>
      <c r="F66" s="519"/>
      <c r="G66" s="519"/>
      <c r="H66" s="559">
        <v>9</v>
      </c>
      <c r="I66" s="560"/>
      <c r="J66" s="561"/>
      <c r="K66" s="561"/>
      <c r="L66" s="553">
        <v>0</v>
      </c>
      <c r="M66" s="519"/>
      <c r="N66" s="519"/>
      <c r="O66" s="519"/>
      <c r="P66" s="519"/>
      <c r="Q66" s="519"/>
      <c r="R66" s="519"/>
      <c r="S66" s="519"/>
      <c r="T66" s="519"/>
      <c r="U66" s="519"/>
      <c r="V66" s="519"/>
      <c r="W66" s="519"/>
      <c r="X66" s="519"/>
      <c r="Y66" s="519"/>
      <c r="Z66" s="519"/>
      <c r="AA66" s="519"/>
      <c r="AB66" s="519"/>
      <c r="AC66" s="519"/>
    </row>
    <row r="67" spans="1:29" thickBot="1">
      <c r="A67" s="574">
        <v>10</v>
      </c>
      <c r="B67" s="575"/>
      <c r="C67" s="576"/>
      <c r="D67" s="576"/>
      <c r="E67" s="553">
        <f t="shared" si="3"/>
        <v>0</v>
      </c>
      <c r="F67" s="519"/>
      <c r="G67" s="519"/>
      <c r="H67" s="559">
        <v>10</v>
      </c>
      <c r="I67" s="560"/>
      <c r="J67" s="561"/>
      <c r="K67" s="561"/>
      <c r="L67" s="553">
        <v>0</v>
      </c>
      <c r="M67" s="519"/>
      <c r="N67" s="519"/>
      <c r="O67" s="519"/>
      <c r="P67" s="519"/>
      <c r="Q67" s="519"/>
      <c r="R67" s="519"/>
      <c r="S67" s="519"/>
      <c r="T67" s="519"/>
      <c r="U67" s="519"/>
      <c r="V67" s="519"/>
      <c r="W67" s="519"/>
      <c r="X67" s="519"/>
      <c r="Y67" s="519"/>
      <c r="Z67" s="519"/>
      <c r="AA67" s="519"/>
      <c r="AB67" s="519"/>
      <c r="AC67" s="519"/>
    </row>
    <row r="68" spans="1:29" thickBot="1">
      <c r="A68" s="574">
        <v>11</v>
      </c>
      <c r="B68" s="575"/>
      <c r="C68" s="576"/>
      <c r="D68" s="576"/>
      <c r="E68" s="553">
        <f t="shared" si="3"/>
        <v>0</v>
      </c>
      <c r="F68" s="519"/>
      <c r="G68" s="519"/>
      <c r="H68" s="559">
        <v>11</v>
      </c>
      <c r="I68" s="560"/>
      <c r="J68" s="561"/>
      <c r="K68" s="561"/>
      <c r="L68" s="553">
        <v>0</v>
      </c>
      <c r="M68" s="519"/>
      <c r="N68" s="519"/>
      <c r="O68" s="519"/>
      <c r="P68" s="519"/>
      <c r="Q68" s="519"/>
      <c r="R68" s="519"/>
      <c r="S68" s="519"/>
      <c r="T68" s="519"/>
      <c r="U68" s="519"/>
      <c r="V68" s="519"/>
      <c r="W68" s="519"/>
      <c r="X68" s="519"/>
      <c r="Y68" s="519"/>
      <c r="Z68" s="519"/>
      <c r="AA68" s="519"/>
      <c r="AB68" s="519"/>
      <c r="AC68" s="519"/>
    </row>
    <row r="69" spans="1:29" thickBot="1">
      <c r="A69" s="577">
        <v>12</v>
      </c>
      <c r="B69" s="578"/>
      <c r="C69" s="579"/>
      <c r="D69" s="579"/>
      <c r="E69" s="553">
        <f t="shared" si="3"/>
        <v>0</v>
      </c>
      <c r="F69" s="519"/>
      <c r="G69" s="519"/>
      <c r="H69" s="559">
        <v>12</v>
      </c>
      <c r="I69" s="560"/>
      <c r="J69" s="561"/>
      <c r="K69" s="561"/>
      <c r="L69" s="553">
        <v>0</v>
      </c>
      <c r="M69" s="519"/>
      <c r="N69" s="519"/>
      <c r="O69" s="519"/>
      <c r="P69" s="519"/>
      <c r="Q69" s="519"/>
      <c r="R69" s="519"/>
      <c r="S69" s="519"/>
      <c r="T69" s="519"/>
      <c r="U69" s="519"/>
      <c r="V69" s="519"/>
      <c r="W69" s="519"/>
      <c r="X69" s="519"/>
      <c r="Y69" s="519"/>
      <c r="Z69" s="519"/>
      <c r="AA69" s="519"/>
      <c r="AB69" s="519"/>
      <c r="AC69" s="519"/>
    </row>
    <row r="70" spans="1:29" ht="58.2" customHeight="1" thickBot="1">
      <c r="A70" s="736" t="s">
        <v>227</v>
      </c>
      <c r="B70" s="726"/>
      <c r="C70" s="639"/>
      <c r="D70" s="543" t="s">
        <v>192</v>
      </c>
      <c r="E70" s="590">
        <f>SUM(E58:E69)</f>
        <v>12</v>
      </c>
      <c r="F70" s="519" t="s">
        <v>193</v>
      </c>
      <c r="G70" s="519"/>
      <c r="H70" s="727" t="s">
        <v>228</v>
      </c>
      <c r="I70" s="636"/>
      <c r="J70" s="637"/>
      <c r="K70" s="543" t="s">
        <v>195</v>
      </c>
      <c r="L70" s="580">
        <f>SUM(L58:L69)</f>
        <v>0.6</v>
      </c>
      <c r="M70" s="519"/>
      <c r="N70" s="519"/>
      <c r="O70" s="519"/>
      <c r="P70" s="519"/>
      <c r="Q70" s="519"/>
      <c r="R70" s="519"/>
      <c r="S70" s="519"/>
      <c r="T70" s="519"/>
      <c r="U70" s="519"/>
      <c r="V70" s="519"/>
      <c r="W70" s="519"/>
      <c r="X70" s="519"/>
      <c r="Y70" s="519"/>
      <c r="Z70" s="519"/>
      <c r="AA70" s="519"/>
      <c r="AB70" s="519"/>
      <c r="AC70" s="519"/>
    </row>
    <row r="71" spans="1:29" ht="102" customHeight="1" thickBot="1">
      <c r="A71" s="640"/>
      <c r="B71" s="641"/>
      <c r="C71" s="642"/>
      <c r="D71" s="533" t="s">
        <v>213</v>
      </c>
      <c r="E71" s="581">
        <f>E70/$B$14</f>
        <v>0.08</v>
      </c>
      <c r="F71" s="582">
        <f>$P$3*E70</f>
        <v>72</v>
      </c>
      <c r="G71" s="519"/>
      <c r="H71" s="640"/>
      <c r="I71" s="641"/>
      <c r="J71" s="642"/>
      <c r="K71" s="533" t="s">
        <v>197</v>
      </c>
      <c r="L71" s="591">
        <f>L70/$B$14</f>
        <v>4.0000000000000001E-3</v>
      </c>
      <c r="M71" s="583"/>
      <c r="N71" s="519"/>
      <c r="O71" s="519"/>
      <c r="P71" s="519"/>
      <c r="Q71" s="519"/>
      <c r="R71" s="519"/>
      <c r="S71" s="519"/>
      <c r="T71" s="519"/>
      <c r="U71" s="519"/>
      <c r="V71" s="519"/>
      <c r="W71" s="519"/>
      <c r="X71" s="519"/>
      <c r="Y71" s="519"/>
      <c r="Z71" s="519"/>
      <c r="AA71" s="519"/>
      <c r="AB71" s="519"/>
      <c r="AC71" s="519"/>
    </row>
    <row r="72" spans="1:29" ht="14.4" customHeight="1">
      <c r="F72" s="583"/>
      <c r="G72" s="519"/>
      <c r="H72" s="519"/>
      <c r="I72" s="519"/>
      <c r="J72" s="519"/>
      <c r="K72" s="519"/>
      <c r="L72" s="519"/>
      <c r="M72" s="519"/>
      <c r="N72" s="519"/>
      <c r="O72" s="519"/>
      <c r="P72" s="519"/>
      <c r="Q72" s="519"/>
      <c r="R72" s="519"/>
      <c r="S72" s="519"/>
      <c r="T72" s="519"/>
      <c r="U72" s="519"/>
      <c r="V72" s="519"/>
      <c r="W72" s="519"/>
      <c r="X72" s="519"/>
      <c r="Y72" s="519"/>
      <c r="Z72" s="519"/>
      <c r="AA72" s="519"/>
      <c r="AB72" s="519"/>
      <c r="AC72" s="519"/>
    </row>
    <row r="73" spans="1:29" ht="14.4" customHeight="1">
      <c r="A73" s="535"/>
      <c r="B73" s="535"/>
      <c r="C73" s="535"/>
      <c r="D73" s="536"/>
      <c r="E73" s="599"/>
      <c r="F73" s="519"/>
      <c r="G73" s="519"/>
      <c r="H73" s="519"/>
      <c r="I73" s="519"/>
      <c r="J73" s="519"/>
      <c r="K73" s="519"/>
      <c r="L73" s="519"/>
      <c r="M73" s="519"/>
      <c r="N73" s="519"/>
      <c r="O73" s="519"/>
      <c r="P73" s="519"/>
      <c r="Q73" s="519"/>
      <c r="R73" s="519"/>
      <c r="S73" s="519"/>
      <c r="T73" s="519"/>
      <c r="U73" s="519"/>
      <c r="V73" s="519"/>
      <c r="W73" s="519"/>
      <c r="X73" s="519"/>
      <c r="Y73" s="519"/>
      <c r="Z73" s="519"/>
      <c r="AA73" s="519"/>
      <c r="AB73" s="519"/>
      <c r="AC73" s="519"/>
    </row>
    <row r="74" spans="1:29" ht="14.4" customHeight="1">
      <c r="A74" s="541"/>
      <c r="B74" s="586"/>
      <c r="C74" s="541"/>
      <c r="D74" s="541"/>
      <c r="E74" s="541"/>
      <c r="F74" s="541"/>
      <c r="G74" s="541"/>
      <c r="H74" s="541"/>
      <c r="I74" s="541"/>
      <c r="J74" s="541"/>
      <c r="K74" s="541"/>
      <c r="L74" s="541"/>
      <c r="M74" s="541"/>
      <c r="N74" s="541"/>
      <c r="O74" s="519"/>
      <c r="P74" s="519"/>
      <c r="Q74" s="519"/>
      <c r="R74" s="519"/>
      <c r="S74" s="519"/>
      <c r="T74" s="519"/>
      <c r="U74" s="519"/>
      <c r="V74" s="519"/>
      <c r="W74" s="519"/>
      <c r="X74" s="519"/>
      <c r="Y74" s="519"/>
      <c r="Z74" s="519"/>
      <c r="AA74" s="519"/>
      <c r="AB74" s="519"/>
      <c r="AC74" s="519"/>
    </row>
    <row r="75" spans="1:29" ht="14.4" customHeight="1">
      <c r="A75" s="519"/>
      <c r="B75" s="521"/>
      <c r="C75" s="519"/>
      <c r="D75" s="519"/>
      <c r="E75" s="519"/>
      <c r="F75" s="519"/>
      <c r="G75" s="519"/>
      <c r="H75" s="519"/>
      <c r="I75" s="519"/>
      <c r="J75" s="519"/>
      <c r="K75" s="519"/>
      <c r="L75" s="519"/>
      <c r="M75" s="519"/>
      <c r="N75" s="519"/>
      <c r="O75" s="519"/>
      <c r="P75" s="519"/>
      <c r="Q75" s="519"/>
      <c r="R75" s="519"/>
      <c r="S75" s="519"/>
      <c r="T75" s="519"/>
      <c r="U75" s="519"/>
      <c r="V75" s="519"/>
      <c r="W75" s="519"/>
      <c r="X75" s="519"/>
      <c r="Y75" s="519"/>
      <c r="Z75" s="519"/>
      <c r="AA75" s="519"/>
      <c r="AB75" s="519"/>
      <c r="AC75" s="519"/>
    </row>
    <row r="76" spans="1:29" thickBot="1">
      <c r="A76" s="519" t="s">
        <v>229</v>
      </c>
      <c r="B76" s="521"/>
      <c r="C76" s="519"/>
      <c r="D76" s="519"/>
      <c r="E76" s="519"/>
      <c r="F76" s="519"/>
      <c r="G76" s="519"/>
      <c r="H76" s="519"/>
      <c r="I76" s="519"/>
      <c r="J76" s="519"/>
      <c r="K76" s="519"/>
      <c r="L76" s="519"/>
      <c r="M76" s="519"/>
      <c r="N76" s="519"/>
      <c r="O76" s="519"/>
      <c r="P76" s="519"/>
      <c r="Q76" s="519"/>
      <c r="R76" s="519"/>
      <c r="S76" s="519"/>
      <c r="T76" s="519"/>
      <c r="U76" s="519"/>
      <c r="V76" s="519"/>
      <c r="W76" s="519"/>
      <c r="X76" s="519"/>
      <c r="Y76" s="519"/>
      <c r="Z76" s="519"/>
      <c r="AA76" s="519"/>
      <c r="AB76" s="519"/>
      <c r="AC76" s="519"/>
    </row>
    <row r="77" spans="1:29" ht="26.4" customHeight="1" thickBot="1">
      <c r="A77" s="732" t="s">
        <v>230</v>
      </c>
      <c r="B77" s="620"/>
      <c r="C77" s="620"/>
      <c r="D77" s="620"/>
      <c r="E77" s="621"/>
      <c r="F77" s="519"/>
      <c r="G77" s="519"/>
      <c r="H77" s="519"/>
      <c r="I77" s="519"/>
      <c r="J77" s="519"/>
      <c r="K77" s="519"/>
      <c r="L77" s="519"/>
      <c r="M77" s="519"/>
      <c r="N77" s="519"/>
      <c r="O77" s="519"/>
      <c r="P77" s="519"/>
      <c r="Q77" s="519"/>
      <c r="R77" s="519"/>
      <c r="S77" s="519"/>
      <c r="T77" s="519"/>
      <c r="U77" s="519"/>
      <c r="V77" s="519"/>
      <c r="W77" s="519"/>
      <c r="X77" s="519"/>
      <c r="Y77" s="519"/>
      <c r="Z77" s="519"/>
      <c r="AA77" s="519"/>
      <c r="AB77" s="519"/>
      <c r="AC77" s="519"/>
    </row>
    <row r="78" spans="1:29" ht="14.4" customHeight="1">
      <c r="A78" s="742" t="s">
        <v>231</v>
      </c>
      <c r="B78" s="723"/>
      <c r="C78" s="728" t="s">
        <v>79</v>
      </c>
      <c r="D78" s="645"/>
      <c r="E78" s="728" t="s">
        <v>80</v>
      </c>
      <c r="F78" s="645"/>
      <c r="G78" s="728" t="s">
        <v>81</v>
      </c>
      <c r="H78" s="645"/>
      <c r="I78" s="728" t="s">
        <v>82</v>
      </c>
      <c r="J78" s="645"/>
      <c r="K78" s="728" t="s">
        <v>83</v>
      </c>
      <c r="L78" s="645"/>
      <c r="M78" s="728" t="s">
        <v>84</v>
      </c>
      <c r="N78" s="645"/>
      <c r="O78" s="728" t="s">
        <v>85</v>
      </c>
      <c r="P78" s="645"/>
      <c r="Q78" s="728" t="s">
        <v>86</v>
      </c>
      <c r="R78" s="645"/>
      <c r="S78" s="728" t="s">
        <v>87</v>
      </c>
      <c r="T78" s="645"/>
      <c r="U78" s="728" t="s">
        <v>88</v>
      </c>
      <c r="V78" s="645"/>
      <c r="W78" s="728" t="s">
        <v>89</v>
      </c>
      <c r="X78" s="645"/>
      <c r="Y78" s="728" t="s">
        <v>90</v>
      </c>
      <c r="Z78" s="645"/>
      <c r="AA78" s="600"/>
      <c r="AB78" s="600"/>
      <c r="AC78" s="600"/>
    </row>
    <row r="79" spans="1:29" ht="29.4" customHeight="1" thickBot="1">
      <c r="A79" s="743"/>
      <c r="B79" s="630"/>
      <c r="C79" s="601" t="s">
        <v>232</v>
      </c>
      <c r="D79" s="601" t="s">
        <v>233</v>
      </c>
      <c r="E79" s="601" t="s">
        <v>232</v>
      </c>
      <c r="F79" s="601" t="s">
        <v>234</v>
      </c>
      <c r="G79" s="601" t="s">
        <v>232</v>
      </c>
      <c r="H79" s="601" t="s">
        <v>233</v>
      </c>
      <c r="I79" s="601" t="s">
        <v>232</v>
      </c>
      <c r="J79" s="601" t="s">
        <v>234</v>
      </c>
      <c r="K79" s="601" t="s">
        <v>232</v>
      </c>
      <c r="L79" s="601" t="s">
        <v>233</v>
      </c>
      <c r="M79" s="601" t="s">
        <v>232</v>
      </c>
      <c r="N79" s="601" t="s">
        <v>233</v>
      </c>
      <c r="O79" s="601" t="s">
        <v>232</v>
      </c>
      <c r="P79" s="601" t="s">
        <v>233</v>
      </c>
      <c r="Q79" s="601" t="s">
        <v>232</v>
      </c>
      <c r="R79" s="601" t="s">
        <v>233</v>
      </c>
      <c r="S79" s="601" t="s">
        <v>232</v>
      </c>
      <c r="T79" s="601" t="s">
        <v>233</v>
      </c>
      <c r="U79" s="601" t="s">
        <v>232</v>
      </c>
      <c r="V79" s="601" t="s">
        <v>233</v>
      </c>
      <c r="W79" s="601" t="s">
        <v>232</v>
      </c>
      <c r="X79" s="601" t="s">
        <v>233</v>
      </c>
      <c r="Y79" s="601" t="s">
        <v>232</v>
      </c>
      <c r="Z79" s="601" t="s">
        <v>233</v>
      </c>
      <c r="AA79" s="602"/>
      <c r="AB79" s="602"/>
      <c r="AC79" s="602"/>
    </row>
    <row r="80" spans="1:29" ht="15.6" customHeight="1">
      <c r="A80" s="603" t="str">
        <f>Hipótesis!B$58</f>
        <v>Alta e instalación Plan Básico</v>
      </c>
      <c r="B80" s="604">
        <f t="shared" ref="B80:B86" si="5">D80+F80+H80+J80+L80+N80+P80+R80+T80+V80+X80+Z80</f>
        <v>15</v>
      </c>
      <c r="C80" s="605">
        <f>'Proy. ventas'!E19</f>
        <v>0</v>
      </c>
      <c r="D80" s="195">
        <f>C80*$E$32</f>
        <v>0</v>
      </c>
      <c r="E80" s="606">
        <f>'Proy. ventas'!G33</f>
        <v>1</v>
      </c>
      <c r="F80" s="195">
        <f>E80*$E$32</f>
        <v>0.5</v>
      </c>
      <c r="G80" s="606">
        <f>'Proy. ventas'!I33</f>
        <v>1</v>
      </c>
      <c r="H80" s="195">
        <f>G80*$E$32</f>
        <v>0.5</v>
      </c>
      <c r="I80" s="606">
        <f>'Proy. ventas'!K33</f>
        <v>2</v>
      </c>
      <c r="J80" s="195">
        <f>I80*$E$32</f>
        <v>1</v>
      </c>
      <c r="K80" s="606">
        <f>'Proy. ventas'!M33</f>
        <v>2</v>
      </c>
      <c r="L80" s="195">
        <f>K80*$E$32</f>
        <v>1</v>
      </c>
      <c r="M80" s="606">
        <f>'Proy. ventas'!O33</f>
        <v>3</v>
      </c>
      <c r="N80" s="195">
        <f>M80*$E$32</f>
        <v>1.5</v>
      </c>
      <c r="O80" s="606">
        <f>'Proy. ventas'!Q33</f>
        <v>3</v>
      </c>
      <c r="P80" s="195">
        <f>O80*$E$32</f>
        <v>1.5</v>
      </c>
      <c r="Q80" s="606">
        <f>'Proy. ventas'!S33</f>
        <v>3</v>
      </c>
      <c r="R80" s="195">
        <f>Q80*$E$32</f>
        <v>1.5</v>
      </c>
      <c r="S80" s="606">
        <f>'Proy. ventas'!U33</f>
        <v>4</v>
      </c>
      <c r="T80" s="195">
        <f>S80*$E$32</f>
        <v>2</v>
      </c>
      <c r="U80" s="606">
        <f>'Proy. ventas'!W33</f>
        <v>4</v>
      </c>
      <c r="V80" s="195">
        <f>U80*$E$32</f>
        <v>2</v>
      </c>
      <c r="W80" s="606">
        <f>'Proy. ventas'!Y33</f>
        <v>4</v>
      </c>
      <c r="X80" s="195">
        <f>W80*$E$32</f>
        <v>2</v>
      </c>
      <c r="Y80" s="606">
        <f>'Proy. ventas'!AA33</f>
        <v>3</v>
      </c>
      <c r="Z80" s="195">
        <f>Y80*$E$32</f>
        <v>1.5</v>
      </c>
      <c r="AA80" s="519"/>
      <c r="AB80" s="519"/>
      <c r="AC80" s="519"/>
    </row>
    <row r="81" spans="1:29" ht="15.6" customHeight="1">
      <c r="A81" s="607" t="str">
        <f>Hipótesis!B$59</f>
        <v>Alta e instalación Plan Vidriera</v>
      </c>
      <c r="B81" s="604">
        <f t="shared" si="5"/>
        <v>186</v>
      </c>
      <c r="C81" s="605">
        <f>'Proy. ventas'!E20</f>
        <v>0</v>
      </c>
      <c r="D81" s="195">
        <f>C81*$E$51</f>
        <v>0</v>
      </c>
      <c r="E81" s="606">
        <f>'Proy. ventas'!G34</f>
        <v>1</v>
      </c>
      <c r="F81" s="195">
        <f>E81*$E$51</f>
        <v>3</v>
      </c>
      <c r="G81" s="606">
        <f>'Proy. ventas'!I34</f>
        <v>3</v>
      </c>
      <c r="H81" s="195">
        <f>G81*$E$51</f>
        <v>9</v>
      </c>
      <c r="I81" s="606">
        <f>'Proy. ventas'!K34</f>
        <v>4</v>
      </c>
      <c r="J81" s="195">
        <f>I81*$E$51</f>
        <v>12</v>
      </c>
      <c r="K81" s="606">
        <f>'Proy. ventas'!M34</f>
        <v>5</v>
      </c>
      <c r="L81" s="195">
        <f>K81*$E$51</f>
        <v>15</v>
      </c>
      <c r="M81" s="606">
        <f>'Proy. ventas'!O34</f>
        <v>5</v>
      </c>
      <c r="N81" s="195">
        <f>M81*$E$51</f>
        <v>15</v>
      </c>
      <c r="O81" s="606">
        <f>'Proy. ventas'!Q34</f>
        <v>6</v>
      </c>
      <c r="P81" s="195">
        <f>O81*$E$51</f>
        <v>18</v>
      </c>
      <c r="Q81" s="606">
        <f>'Proy. ventas'!S34</f>
        <v>7</v>
      </c>
      <c r="R81" s="195">
        <f>Q81*$E$51</f>
        <v>21</v>
      </c>
      <c r="S81" s="606">
        <f>'Proy. ventas'!U34</f>
        <v>7</v>
      </c>
      <c r="T81" s="195">
        <f>S81*$E$51</f>
        <v>21</v>
      </c>
      <c r="U81" s="606">
        <f>'Proy. ventas'!W34</f>
        <v>8</v>
      </c>
      <c r="V81" s="195">
        <f>U81*$E$51</f>
        <v>24</v>
      </c>
      <c r="W81" s="606">
        <f>'Proy. ventas'!Y34</f>
        <v>8</v>
      </c>
      <c r="X81" s="195">
        <f>W81*$E$51</f>
        <v>24</v>
      </c>
      <c r="Y81" s="606">
        <f>'Proy. ventas'!AA34</f>
        <v>8</v>
      </c>
      <c r="Z81" s="195">
        <f>Y81*$E$51</f>
        <v>24</v>
      </c>
      <c r="AA81" s="519"/>
      <c r="AB81" s="519"/>
      <c r="AC81" s="519"/>
    </row>
    <row r="82" spans="1:29" ht="16.2" customHeight="1" thickBot="1">
      <c r="A82" s="608" t="str">
        <f>Hipótesis!B$60</f>
        <v>Alta e instalación Plan Cadena</v>
      </c>
      <c r="B82" s="604">
        <f t="shared" si="5"/>
        <v>120</v>
      </c>
      <c r="C82" s="605">
        <f>'Proy. ventas'!E21</f>
        <v>0</v>
      </c>
      <c r="D82" s="195">
        <f>C82*$E$70</f>
        <v>0</v>
      </c>
      <c r="E82" s="606">
        <f>'Proy. ventas'!G35</f>
        <v>0</v>
      </c>
      <c r="F82" s="195">
        <f>E82*$E$70</f>
        <v>0</v>
      </c>
      <c r="G82" s="606">
        <f>'Proy. ventas'!I35</f>
        <v>0</v>
      </c>
      <c r="H82" s="195">
        <f>G82*$E$70</f>
        <v>0</v>
      </c>
      <c r="I82" s="606">
        <f>'Proy. ventas'!K35</f>
        <v>0</v>
      </c>
      <c r="J82" s="195">
        <f>I82*$E$70</f>
        <v>0</v>
      </c>
      <c r="K82" s="606">
        <f>'Proy. ventas'!M35</f>
        <v>1</v>
      </c>
      <c r="L82" s="195">
        <f>K82*$E$70</f>
        <v>12</v>
      </c>
      <c r="M82" s="606">
        <f>'Proy. ventas'!O35</f>
        <v>1</v>
      </c>
      <c r="N82" s="195">
        <f>M82*$E$70</f>
        <v>12</v>
      </c>
      <c r="O82" s="606">
        <f>'Proy. ventas'!Q35</f>
        <v>1</v>
      </c>
      <c r="P82" s="195">
        <f>O82*$E$70</f>
        <v>12</v>
      </c>
      <c r="Q82" s="606">
        <f>'Proy. ventas'!S35</f>
        <v>1</v>
      </c>
      <c r="R82" s="195">
        <f>Q82*$E$70</f>
        <v>12</v>
      </c>
      <c r="S82" s="606">
        <f>'Proy. ventas'!U35</f>
        <v>1</v>
      </c>
      <c r="T82" s="195">
        <f>S82*$E$70</f>
        <v>12</v>
      </c>
      <c r="U82" s="606">
        <f>'Proy. ventas'!W35</f>
        <v>1</v>
      </c>
      <c r="V82" s="195">
        <f>U82*$E$70</f>
        <v>12</v>
      </c>
      <c r="W82" s="606">
        <f>'Proy. ventas'!Y35</f>
        <v>1</v>
      </c>
      <c r="X82" s="195">
        <f>W82*$E$70</f>
        <v>12</v>
      </c>
      <c r="Y82" s="606">
        <f>'Proy. ventas'!AA35</f>
        <v>3</v>
      </c>
      <c r="Z82" s="195">
        <f>Y82*$E$70</f>
        <v>36</v>
      </c>
      <c r="AA82" s="519"/>
      <c r="AB82" s="519"/>
      <c r="AC82" s="519"/>
    </row>
    <row r="83" spans="1:29" ht="15.6" customHeight="1">
      <c r="A83" s="609" t="str">
        <f>Hipótesis!B$61</f>
        <v>Abono Plan Básico</v>
      </c>
      <c r="B83" s="604">
        <f t="shared" si="5"/>
        <v>22.200000000000003</v>
      </c>
      <c r="C83" s="605">
        <f>'Proy. ventas'!E22</f>
        <v>0</v>
      </c>
      <c r="D83" s="195">
        <f>C83*$L$32</f>
        <v>0</v>
      </c>
      <c r="E83" s="605">
        <f>'Proy. ventas'!G22</f>
        <v>1</v>
      </c>
      <c r="F83" s="195">
        <f>E83*$L$32</f>
        <v>0.15000000000000002</v>
      </c>
      <c r="G83" s="605">
        <f>'Proy. ventas'!I22</f>
        <v>2</v>
      </c>
      <c r="H83" s="195">
        <f>G83*$L$32</f>
        <v>0.30000000000000004</v>
      </c>
      <c r="I83" s="605">
        <f>'Proy. ventas'!K22</f>
        <v>4</v>
      </c>
      <c r="J83" s="195">
        <f>I83*$L$32</f>
        <v>0.60000000000000009</v>
      </c>
      <c r="K83" s="605">
        <f>'Proy. ventas'!M22</f>
        <v>6</v>
      </c>
      <c r="L83" s="195">
        <f>K83*$L$32</f>
        <v>0.90000000000000013</v>
      </c>
      <c r="M83" s="605">
        <f>'Proy. ventas'!O22</f>
        <v>9</v>
      </c>
      <c r="N83" s="195">
        <f>M83*$L$32</f>
        <v>1.35</v>
      </c>
      <c r="O83" s="605">
        <f>'Proy. ventas'!Q22</f>
        <v>12</v>
      </c>
      <c r="P83" s="195">
        <f>O83*$L$32</f>
        <v>1.8000000000000003</v>
      </c>
      <c r="Q83" s="605">
        <f>'Proy. ventas'!S22</f>
        <v>15</v>
      </c>
      <c r="R83" s="195">
        <f>Q83*$L$32</f>
        <v>2.2500000000000004</v>
      </c>
      <c r="S83" s="605">
        <f>'Proy. ventas'!U22</f>
        <v>19</v>
      </c>
      <c r="T83" s="195">
        <f>S83*$L$32</f>
        <v>2.8500000000000005</v>
      </c>
      <c r="U83" s="605">
        <f>'Proy. ventas'!W22</f>
        <v>23</v>
      </c>
      <c r="V83" s="195">
        <f>U83*$L$32</f>
        <v>3.4500000000000006</v>
      </c>
      <c r="W83" s="605">
        <f>'Proy. ventas'!Y22</f>
        <v>27</v>
      </c>
      <c r="X83" s="195">
        <f>W83*$L$32</f>
        <v>4.0500000000000007</v>
      </c>
      <c r="Y83" s="605">
        <f>'Proy. ventas'!AA22</f>
        <v>30</v>
      </c>
      <c r="Z83" s="195">
        <f>Y83*$L$32</f>
        <v>4.5000000000000009</v>
      </c>
      <c r="AA83" s="519"/>
      <c r="AB83" s="519"/>
      <c r="AC83" s="519"/>
    </row>
    <row r="84" spans="1:29" ht="15.6" customHeight="1">
      <c r="A84" s="610" t="str">
        <f>Hipótesis!B$62</f>
        <v>Abono Plan Vidriera</v>
      </c>
      <c r="B84" s="604">
        <f t="shared" si="5"/>
        <v>74.75</v>
      </c>
      <c r="C84" s="605">
        <f>'Proy. ventas'!E23</f>
        <v>0</v>
      </c>
      <c r="D84" s="195">
        <f>C84*$L$51</f>
        <v>0</v>
      </c>
      <c r="E84" s="605">
        <f>'Proy. ventas'!G23</f>
        <v>1</v>
      </c>
      <c r="F84" s="195">
        <f>E84*$L$51</f>
        <v>0.25</v>
      </c>
      <c r="G84" s="605">
        <f>'Proy. ventas'!I23</f>
        <v>4</v>
      </c>
      <c r="H84" s="195">
        <f>G84*$L$51</f>
        <v>1</v>
      </c>
      <c r="I84" s="605">
        <f>'Proy. ventas'!K23</f>
        <v>8</v>
      </c>
      <c r="J84" s="195">
        <f>I84*$L$51</f>
        <v>2</v>
      </c>
      <c r="K84" s="605">
        <f>'Proy. ventas'!M23</f>
        <v>13</v>
      </c>
      <c r="L84" s="195">
        <f>K84*$L$51</f>
        <v>3.25</v>
      </c>
      <c r="M84" s="605">
        <f>'Proy. ventas'!O23</f>
        <v>18</v>
      </c>
      <c r="N84" s="195">
        <f>M84*$L$51</f>
        <v>4.5</v>
      </c>
      <c r="O84" s="605">
        <f>'Proy. ventas'!Q23</f>
        <v>24</v>
      </c>
      <c r="P84" s="195">
        <f>O84*$L$51</f>
        <v>6</v>
      </c>
      <c r="Q84" s="605">
        <f>'Proy. ventas'!S23</f>
        <v>31</v>
      </c>
      <c r="R84" s="195">
        <f>Q84*$L$51</f>
        <v>7.75</v>
      </c>
      <c r="S84" s="605">
        <f>'Proy. ventas'!U23</f>
        <v>38</v>
      </c>
      <c r="T84" s="195">
        <f>S84*$L$51</f>
        <v>9.5</v>
      </c>
      <c r="U84" s="605">
        <f>'Proy. ventas'!W23</f>
        <v>46</v>
      </c>
      <c r="V84" s="195">
        <f>U84*$L$51</f>
        <v>11.5</v>
      </c>
      <c r="W84" s="605">
        <f>'Proy. ventas'!Y23</f>
        <v>54</v>
      </c>
      <c r="X84" s="195">
        <f>W84*$L$51</f>
        <v>13.5</v>
      </c>
      <c r="Y84" s="605">
        <f>'Proy. ventas'!AA23</f>
        <v>62</v>
      </c>
      <c r="Z84" s="195">
        <f>Y84*$L$51</f>
        <v>15.5</v>
      </c>
      <c r="AA84" s="519"/>
      <c r="AB84" s="519"/>
      <c r="AC84" s="519"/>
    </row>
    <row r="85" spans="1:29" ht="16.2" customHeight="1" thickBot="1">
      <c r="A85" s="611" t="str">
        <f>Hipótesis!B$63</f>
        <v>Abono Plan Cadena</v>
      </c>
      <c r="B85" s="604">
        <f t="shared" si="5"/>
        <v>22.8</v>
      </c>
      <c r="C85" s="605">
        <f>'Proy. ventas'!E24</f>
        <v>0</v>
      </c>
      <c r="D85" s="195">
        <f>C85*$L$70</f>
        <v>0</v>
      </c>
      <c r="E85" s="605">
        <f>'Proy. ventas'!G24</f>
        <v>0</v>
      </c>
      <c r="F85" s="195">
        <f>E85*$L$70</f>
        <v>0</v>
      </c>
      <c r="G85" s="605">
        <f>'Proy. ventas'!I24</f>
        <v>0</v>
      </c>
      <c r="H85" s="195">
        <f>G85*$L$70</f>
        <v>0</v>
      </c>
      <c r="I85" s="605">
        <f>'Proy. ventas'!K24</f>
        <v>0</v>
      </c>
      <c r="J85" s="195">
        <f>I85*$L$70</f>
        <v>0</v>
      </c>
      <c r="K85" s="605">
        <f>'Proy. ventas'!M24</f>
        <v>1</v>
      </c>
      <c r="L85" s="195">
        <f>K85*$L$70</f>
        <v>0.6</v>
      </c>
      <c r="M85" s="605">
        <f>'Proy. ventas'!O24</f>
        <v>2</v>
      </c>
      <c r="N85" s="195">
        <f>M85*$L$70</f>
        <v>1.2</v>
      </c>
      <c r="O85" s="605">
        <f>'Proy. ventas'!Q24</f>
        <v>3</v>
      </c>
      <c r="P85" s="195">
        <f>O85*$L$70</f>
        <v>1.7999999999999998</v>
      </c>
      <c r="Q85" s="605">
        <f>'Proy. ventas'!S24</f>
        <v>4</v>
      </c>
      <c r="R85" s="195">
        <f>Q85*$L$70</f>
        <v>2.4</v>
      </c>
      <c r="S85" s="605">
        <f>'Proy. ventas'!U24</f>
        <v>5</v>
      </c>
      <c r="T85" s="195">
        <f>S85*$L$70</f>
        <v>3</v>
      </c>
      <c r="U85" s="605">
        <f>'Proy. ventas'!W24</f>
        <v>6</v>
      </c>
      <c r="V85" s="195">
        <f>U85*$L$70</f>
        <v>3.5999999999999996</v>
      </c>
      <c r="W85" s="605">
        <f>'Proy. ventas'!Y24</f>
        <v>7</v>
      </c>
      <c r="X85" s="195">
        <f>W85*$L$70</f>
        <v>4.2</v>
      </c>
      <c r="Y85" s="605">
        <f>'Proy. ventas'!AA24</f>
        <v>10</v>
      </c>
      <c r="Z85" s="195">
        <f>Y85*$L$70</f>
        <v>6</v>
      </c>
      <c r="AA85" s="519"/>
      <c r="AB85" s="519"/>
      <c r="AC85" s="519"/>
    </row>
    <row r="86" spans="1:29" ht="14.4" customHeight="1">
      <c r="A86" s="612" t="s">
        <v>235</v>
      </c>
      <c r="B86" s="613">
        <f t="shared" si="5"/>
        <v>440.75</v>
      </c>
      <c r="C86" s="606">
        <f t="shared" ref="C86:Z86" si="6">SUM(C80:C85)</f>
        <v>0</v>
      </c>
      <c r="D86" s="614">
        <f t="shared" si="6"/>
        <v>0</v>
      </c>
      <c r="E86" s="606">
        <f t="shared" si="6"/>
        <v>4</v>
      </c>
      <c r="F86" s="614">
        <f t="shared" si="6"/>
        <v>3.9</v>
      </c>
      <c r="G86" s="606">
        <f t="shared" si="6"/>
        <v>10</v>
      </c>
      <c r="H86" s="614">
        <f t="shared" si="6"/>
        <v>10.8</v>
      </c>
      <c r="I86" s="606">
        <f t="shared" si="6"/>
        <v>18</v>
      </c>
      <c r="J86" s="614">
        <f t="shared" si="6"/>
        <v>15.6</v>
      </c>
      <c r="K86" s="606">
        <f t="shared" si="6"/>
        <v>28</v>
      </c>
      <c r="L86" s="614">
        <f t="shared" si="6"/>
        <v>32.75</v>
      </c>
      <c r="M86" s="606">
        <f t="shared" si="6"/>
        <v>38</v>
      </c>
      <c r="N86" s="614">
        <f t="shared" si="6"/>
        <v>35.550000000000004</v>
      </c>
      <c r="O86" s="606">
        <f t="shared" si="6"/>
        <v>49</v>
      </c>
      <c r="P86" s="614">
        <f t="shared" si="6"/>
        <v>41.099999999999994</v>
      </c>
      <c r="Q86" s="606">
        <f t="shared" si="6"/>
        <v>61</v>
      </c>
      <c r="R86" s="614">
        <f t="shared" si="6"/>
        <v>46.9</v>
      </c>
      <c r="S86" s="606">
        <f t="shared" si="6"/>
        <v>74</v>
      </c>
      <c r="T86" s="614">
        <f t="shared" si="6"/>
        <v>50.35</v>
      </c>
      <c r="U86" s="606">
        <f t="shared" si="6"/>
        <v>88</v>
      </c>
      <c r="V86" s="614">
        <f t="shared" si="6"/>
        <v>56.550000000000004</v>
      </c>
      <c r="W86" s="606">
        <f t="shared" si="6"/>
        <v>101</v>
      </c>
      <c r="X86" s="614">
        <f t="shared" si="6"/>
        <v>59.75</v>
      </c>
      <c r="Y86" s="606">
        <f t="shared" si="6"/>
        <v>116</v>
      </c>
      <c r="Z86" s="614">
        <f t="shared" si="6"/>
        <v>87.5</v>
      </c>
      <c r="AA86" s="615"/>
      <c r="AB86" s="615"/>
      <c r="AC86" s="615"/>
    </row>
    <row r="87" spans="1:29" ht="14.4" customHeight="1">
      <c r="A87" s="519"/>
      <c r="B87" s="521"/>
      <c r="C87" s="519"/>
      <c r="D87" s="519"/>
      <c r="E87" s="519"/>
      <c r="F87" s="519"/>
      <c r="G87" s="519"/>
      <c r="H87" s="519"/>
      <c r="I87" s="519"/>
      <c r="J87" s="519"/>
      <c r="K87" s="519"/>
      <c r="L87" s="519"/>
      <c r="M87" s="519"/>
      <c r="N87" s="519"/>
      <c r="O87" s="519"/>
      <c r="P87" s="519"/>
      <c r="Q87" s="519"/>
      <c r="R87" s="519"/>
      <c r="S87" s="519"/>
      <c r="T87" s="519"/>
      <c r="U87" s="519"/>
      <c r="V87" s="519"/>
      <c r="W87" s="519"/>
      <c r="X87" s="519"/>
      <c r="Y87" s="519"/>
      <c r="Z87" s="519"/>
      <c r="AA87" s="519"/>
      <c r="AB87" s="519"/>
      <c r="AC87" s="519"/>
    </row>
    <row r="88" spans="1:29" ht="14.4" customHeight="1">
      <c r="A88" s="519"/>
      <c r="B88" s="521"/>
      <c r="C88" s="519"/>
      <c r="D88" s="519"/>
      <c r="E88" s="519"/>
      <c r="F88" s="519"/>
      <c r="G88" s="519"/>
      <c r="H88" s="519"/>
      <c r="I88" s="519"/>
      <c r="J88" s="519"/>
      <c r="K88" s="519"/>
      <c r="L88" s="519"/>
      <c r="M88" s="519"/>
      <c r="N88" s="519"/>
      <c r="O88" s="519"/>
      <c r="P88" s="519"/>
      <c r="Q88" s="519"/>
      <c r="R88" s="519"/>
      <c r="S88" s="519"/>
      <c r="T88" s="519"/>
      <c r="U88" s="519"/>
      <c r="V88" s="519"/>
      <c r="W88" s="519"/>
      <c r="X88" s="519"/>
      <c r="Y88" s="519"/>
      <c r="Z88" s="519"/>
      <c r="AA88" s="519"/>
      <c r="AB88" s="519"/>
      <c r="AC88" s="519"/>
    </row>
    <row r="89" spans="1:29" ht="24" customHeight="1">
      <c r="A89" s="742" t="s">
        <v>236</v>
      </c>
      <c r="B89" s="723"/>
      <c r="C89" s="728" t="s">
        <v>79</v>
      </c>
      <c r="D89" s="645"/>
      <c r="E89" s="728" t="s">
        <v>80</v>
      </c>
      <c r="F89" s="645"/>
      <c r="G89" s="728" t="s">
        <v>81</v>
      </c>
      <c r="H89" s="645"/>
      <c r="I89" s="728" t="s">
        <v>82</v>
      </c>
      <c r="J89" s="645"/>
      <c r="K89" s="728" t="s">
        <v>83</v>
      </c>
      <c r="L89" s="645"/>
      <c r="M89" s="728" t="s">
        <v>84</v>
      </c>
      <c r="N89" s="645"/>
      <c r="O89" s="728" t="s">
        <v>85</v>
      </c>
      <c r="P89" s="645"/>
      <c r="Q89" s="728" t="s">
        <v>86</v>
      </c>
      <c r="R89" s="645"/>
      <c r="S89" s="728" t="s">
        <v>87</v>
      </c>
      <c r="T89" s="645"/>
      <c r="U89" s="728" t="s">
        <v>88</v>
      </c>
      <c r="V89" s="645"/>
      <c r="W89" s="728" t="s">
        <v>89</v>
      </c>
      <c r="X89" s="645"/>
      <c r="Y89" s="728" t="s">
        <v>90</v>
      </c>
      <c r="Z89" s="645"/>
      <c r="AA89" s="600"/>
      <c r="AB89" s="600"/>
      <c r="AC89" s="600"/>
    </row>
    <row r="90" spans="1:29" ht="53.4" customHeight="1" thickBot="1">
      <c r="A90" s="743"/>
      <c r="B90" s="630"/>
      <c r="C90" s="601" t="s">
        <v>232</v>
      </c>
      <c r="D90" s="601" t="s">
        <v>233</v>
      </c>
      <c r="E90" s="601" t="s">
        <v>232</v>
      </c>
      <c r="F90" s="601" t="s">
        <v>234</v>
      </c>
      <c r="G90" s="601" t="s">
        <v>232</v>
      </c>
      <c r="H90" s="601" t="s">
        <v>233</v>
      </c>
      <c r="I90" s="601" t="s">
        <v>232</v>
      </c>
      <c r="J90" s="601" t="s">
        <v>234</v>
      </c>
      <c r="K90" s="601" t="s">
        <v>232</v>
      </c>
      <c r="L90" s="601" t="s">
        <v>233</v>
      </c>
      <c r="M90" s="601" t="s">
        <v>232</v>
      </c>
      <c r="N90" s="601" t="s">
        <v>233</v>
      </c>
      <c r="O90" s="601" t="s">
        <v>232</v>
      </c>
      <c r="P90" s="601" t="s">
        <v>233</v>
      </c>
      <c r="Q90" s="601" t="s">
        <v>232</v>
      </c>
      <c r="R90" s="601" t="s">
        <v>233</v>
      </c>
      <c r="S90" s="601" t="s">
        <v>232</v>
      </c>
      <c r="T90" s="601" t="s">
        <v>233</v>
      </c>
      <c r="U90" s="601" t="s">
        <v>232</v>
      </c>
      <c r="V90" s="601" t="s">
        <v>233</v>
      </c>
      <c r="W90" s="601" t="s">
        <v>232</v>
      </c>
      <c r="X90" s="601" t="s">
        <v>233</v>
      </c>
      <c r="Y90" s="601" t="s">
        <v>232</v>
      </c>
      <c r="Z90" s="601" t="s">
        <v>233</v>
      </c>
      <c r="AA90" s="602"/>
      <c r="AB90" s="602"/>
      <c r="AC90" s="602"/>
    </row>
    <row r="91" spans="1:29" ht="15.6" customHeight="1">
      <c r="A91" s="603" t="str">
        <f>Hipótesis!B$58</f>
        <v>Alta e instalación Plan Básico</v>
      </c>
      <c r="B91" s="604">
        <f t="shared" ref="B91:B97" si="7">D91+F91+H91+J91+L91+N91+P91+R91+T91+V91+X91+Z91</f>
        <v>25.5</v>
      </c>
      <c r="C91" s="606">
        <f>'Proy. ventas'!E82</f>
        <v>4</v>
      </c>
      <c r="D91" s="195">
        <f>C91*$E$32</f>
        <v>2</v>
      </c>
      <c r="E91" s="606">
        <f>'Proy. ventas'!G82</f>
        <v>4</v>
      </c>
      <c r="F91" s="195">
        <f>E91*$E$32</f>
        <v>2</v>
      </c>
      <c r="G91" s="606">
        <f>'Proy. ventas'!I82</f>
        <v>4</v>
      </c>
      <c r="H91" s="195">
        <f>G91*$E$32</f>
        <v>2</v>
      </c>
      <c r="I91" s="606">
        <f>'Proy. ventas'!K82</f>
        <v>4</v>
      </c>
      <c r="J91" s="195">
        <f>I91*$E$32</f>
        <v>2</v>
      </c>
      <c r="K91" s="606">
        <f>'Proy. ventas'!M82</f>
        <v>4</v>
      </c>
      <c r="L91" s="195">
        <f>K91*$E$32</f>
        <v>2</v>
      </c>
      <c r="M91" s="606">
        <f>'Proy. ventas'!O82</f>
        <v>4</v>
      </c>
      <c r="N91" s="195">
        <f>M91*$E$32</f>
        <v>2</v>
      </c>
      <c r="O91" s="606">
        <f>'Proy. ventas'!Q82</f>
        <v>4</v>
      </c>
      <c r="P91" s="195">
        <f>O91*$E$32</f>
        <v>2</v>
      </c>
      <c r="Q91" s="606">
        <f>'Proy. ventas'!S82</f>
        <v>4</v>
      </c>
      <c r="R91" s="195">
        <f>Q91*$E$32</f>
        <v>2</v>
      </c>
      <c r="S91" s="606">
        <f>'Proy. ventas'!U82</f>
        <v>4</v>
      </c>
      <c r="T91" s="195">
        <f>S91*$E$32</f>
        <v>2</v>
      </c>
      <c r="U91" s="606">
        <f>'Proy. ventas'!W82</f>
        <v>4</v>
      </c>
      <c r="V91" s="195">
        <f>U91*$E$32</f>
        <v>2</v>
      </c>
      <c r="W91" s="606">
        <f>'Proy. ventas'!Y82</f>
        <v>5</v>
      </c>
      <c r="X91" s="195">
        <f>W91*$E$32</f>
        <v>2.5</v>
      </c>
      <c r="Y91" s="606">
        <f>'Proy. ventas'!AA82</f>
        <v>6</v>
      </c>
      <c r="Z91" s="195">
        <f>Y91*$E$32</f>
        <v>3</v>
      </c>
      <c r="AA91" s="519"/>
      <c r="AB91" s="519"/>
      <c r="AC91" s="519"/>
    </row>
    <row r="92" spans="1:29" ht="15.6" customHeight="1">
      <c r="A92" s="607" t="str">
        <f>Hipótesis!B$59</f>
        <v>Alta e instalación Plan Vidriera</v>
      </c>
      <c r="B92" s="604">
        <f t="shared" si="7"/>
        <v>306</v>
      </c>
      <c r="C92" s="606">
        <f>'Proy. ventas'!E83</f>
        <v>8</v>
      </c>
      <c r="D92" s="195">
        <f>C92*$E$51</f>
        <v>24</v>
      </c>
      <c r="E92" s="606">
        <f>'Proy. ventas'!G83</f>
        <v>8</v>
      </c>
      <c r="F92" s="195">
        <f>E92*$E$51</f>
        <v>24</v>
      </c>
      <c r="G92" s="606">
        <f>'Proy. ventas'!I83</f>
        <v>8</v>
      </c>
      <c r="H92" s="195">
        <f>G92*$E$51</f>
        <v>24</v>
      </c>
      <c r="I92" s="606">
        <f>'Proy. ventas'!K83</f>
        <v>8</v>
      </c>
      <c r="J92" s="195">
        <f>I92*$E$51</f>
        <v>24</v>
      </c>
      <c r="K92" s="606">
        <f>'Proy. ventas'!M83</f>
        <v>8</v>
      </c>
      <c r="L92" s="195">
        <f>K92*$E$51</f>
        <v>24</v>
      </c>
      <c r="M92" s="606">
        <f>'Proy. ventas'!O83</f>
        <v>8</v>
      </c>
      <c r="N92" s="195">
        <f>M92*$E$51</f>
        <v>24</v>
      </c>
      <c r="O92" s="606">
        <f>'Proy. ventas'!Q83</f>
        <v>9</v>
      </c>
      <c r="P92" s="195">
        <f>O92*$E$51</f>
        <v>27</v>
      </c>
      <c r="Q92" s="606">
        <f>'Proy. ventas'!S83</f>
        <v>9</v>
      </c>
      <c r="R92" s="195">
        <f>Q92*$E$51</f>
        <v>27</v>
      </c>
      <c r="S92" s="606">
        <f>'Proy. ventas'!U83</f>
        <v>9</v>
      </c>
      <c r="T92" s="195">
        <f>S92*$E$51</f>
        <v>27</v>
      </c>
      <c r="U92" s="606">
        <f>'Proy. ventas'!W83</f>
        <v>9</v>
      </c>
      <c r="V92" s="195">
        <f>U92*$E$51</f>
        <v>27</v>
      </c>
      <c r="W92" s="606">
        <f>'Proy. ventas'!Y83</f>
        <v>9</v>
      </c>
      <c r="X92" s="195">
        <f>W92*$E$51</f>
        <v>27</v>
      </c>
      <c r="Y92" s="606">
        <f>'Proy. ventas'!AA83</f>
        <v>9</v>
      </c>
      <c r="Z92" s="195">
        <f>Y92*$E$51</f>
        <v>27</v>
      </c>
      <c r="AA92" s="519"/>
      <c r="AB92" s="519"/>
      <c r="AC92" s="519"/>
    </row>
    <row r="93" spans="1:29" ht="16.2" customHeight="1" thickBot="1">
      <c r="A93" s="608" t="str">
        <f>Hipótesis!B$60</f>
        <v>Alta e instalación Plan Cadena</v>
      </c>
      <c r="B93" s="604">
        <f t="shared" si="7"/>
        <v>204</v>
      </c>
      <c r="C93" s="606">
        <f>'Proy. ventas'!E84</f>
        <v>1</v>
      </c>
      <c r="D93" s="195">
        <f>C93*$E$70</f>
        <v>12</v>
      </c>
      <c r="E93" s="606">
        <f>'Proy. ventas'!G84</f>
        <v>1</v>
      </c>
      <c r="F93" s="195">
        <f>E93*$E$70</f>
        <v>12</v>
      </c>
      <c r="G93" s="606">
        <f>'Proy. ventas'!I84</f>
        <v>1</v>
      </c>
      <c r="H93" s="195">
        <f>G93*$E$70</f>
        <v>12</v>
      </c>
      <c r="I93" s="606">
        <f>'Proy. ventas'!K84</f>
        <v>1</v>
      </c>
      <c r="J93" s="195">
        <f>I93*$E$70</f>
        <v>12</v>
      </c>
      <c r="K93" s="606">
        <f>'Proy. ventas'!M84</f>
        <v>1</v>
      </c>
      <c r="L93" s="195">
        <f>K93*$E$70</f>
        <v>12</v>
      </c>
      <c r="M93" s="606">
        <f>'Proy. ventas'!O84</f>
        <v>2</v>
      </c>
      <c r="N93" s="195">
        <f>M93*$E$70</f>
        <v>24</v>
      </c>
      <c r="O93" s="606">
        <f>'Proy. ventas'!Q84</f>
        <v>1</v>
      </c>
      <c r="P93" s="195">
        <f>O93*$E$70</f>
        <v>12</v>
      </c>
      <c r="Q93" s="606">
        <f>'Proy. ventas'!S84</f>
        <v>2</v>
      </c>
      <c r="R93" s="195">
        <f>Q93*$E$70</f>
        <v>24</v>
      </c>
      <c r="S93" s="606">
        <f>'Proy. ventas'!U84</f>
        <v>1</v>
      </c>
      <c r="T93" s="195">
        <f>S93*$E$70</f>
        <v>12</v>
      </c>
      <c r="U93" s="606">
        <f>'Proy. ventas'!W84</f>
        <v>2</v>
      </c>
      <c r="V93" s="195">
        <f>U93*$E$70</f>
        <v>24</v>
      </c>
      <c r="W93" s="606">
        <f>'Proy. ventas'!Y84</f>
        <v>2</v>
      </c>
      <c r="X93" s="195">
        <f>W93*$E$70</f>
        <v>24</v>
      </c>
      <c r="Y93" s="606">
        <f>'Proy. ventas'!AA84</f>
        <v>2</v>
      </c>
      <c r="Z93" s="195">
        <f>Y93*$E$70</f>
        <v>24</v>
      </c>
      <c r="AA93" s="519"/>
      <c r="AB93" s="519"/>
      <c r="AC93" s="519"/>
    </row>
    <row r="94" spans="1:29" ht="15.6" customHeight="1">
      <c r="A94" s="609" t="str">
        <f>Hipótesis!B$61</f>
        <v>Abono Plan Básico</v>
      </c>
      <c r="B94" s="604">
        <f t="shared" si="7"/>
        <v>101.40000000000002</v>
      </c>
      <c r="C94" s="606">
        <f>'Proy. ventas'!E85</f>
        <v>34</v>
      </c>
      <c r="D94" s="195">
        <f>C94*$L$32</f>
        <v>5.1000000000000005</v>
      </c>
      <c r="E94" s="606">
        <f>'Proy. ventas'!G85</f>
        <v>38</v>
      </c>
      <c r="F94" s="195">
        <f>E94*$L$32</f>
        <v>5.7000000000000011</v>
      </c>
      <c r="G94" s="606">
        <f>'Proy. ventas'!I85</f>
        <v>42</v>
      </c>
      <c r="H94" s="195">
        <f>G94*$L$32</f>
        <v>6.3000000000000007</v>
      </c>
      <c r="I94" s="606">
        <f>'Proy. ventas'!K85</f>
        <v>46</v>
      </c>
      <c r="J94" s="195">
        <f>I94*$L$32</f>
        <v>6.9000000000000012</v>
      </c>
      <c r="K94" s="606">
        <f>'Proy. ventas'!M85</f>
        <v>50</v>
      </c>
      <c r="L94" s="195">
        <f>K94*$L$32</f>
        <v>7.5000000000000009</v>
      </c>
      <c r="M94" s="606">
        <f>'Proy. ventas'!O85</f>
        <v>54</v>
      </c>
      <c r="N94" s="195">
        <f>M94*$L$32</f>
        <v>8.1000000000000014</v>
      </c>
      <c r="O94" s="606">
        <f>'Proy. ventas'!Q85</f>
        <v>58</v>
      </c>
      <c r="P94" s="195">
        <f>O94*$L$32</f>
        <v>8.7000000000000011</v>
      </c>
      <c r="Q94" s="606">
        <f>'Proy. ventas'!S85</f>
        <v>62</v>
      </c>
      <c r="R94" s="195">
        <f>Q94*$L$32</f>
        <v>9.3000000000000007</v>
      </c>
      <c r="S94" s="606">
        <f>'Proy. ventas'!U85</f>
        <v>66</v>
      </c>
      <c r="T94" s="195">
        <f>S94*$L$32</f>
        <v>9.9000000000000021</v>
      </c>
      <c r="U94" s="606">
        <f>'Proy. ventas'!W85</f>
        <v>70</v>
      </c>
      <c r="V94" s="195">
        <f>U94*$L$32</f>
        <v>10.500000000000002</v>
      </c>
      <c r="W94" s="606">
        <f>'Proy. ventas'!Y85</f>
        <v>75</v>
      </c>
      <c r="X94" s="195">
        <f>W94*$L$32</f>
        <v>11.250000000000002</v>
      </c>
      <c r="Y94" s="606">
        <f>'Proy. ventas'!AA85</f>
        <v>81</v>
      </c>
      <c r="Z94" s="195">
        <f>Y94*$L$32</f>
        <v>12.150000000000002</v>
      </c>
      <c r="AA94" s="519"/>
      <c r="AB94" s="519"/>
      <c r="AC94" s="519"/>
    </row>
    <row r="95" spans="1:29" ht="15.6" customHeight="1">
      <c r="A95" s="610" t="str">
        <f>Hipótesis!B$62</f>
        <v>Abono Plan Vidriera</v>
      </c>
      <c r="B95" s="604">
        <f t="shared" si="7"/>
        <v>347.25</v>
      </c>
      <c r="C95" s="606">
        <f>'Proy. ventas'!E86</f>
        <v>70</v>
      </c>
      <c r="D95" s="195">
        <f>C95*$L$51</f>
        <v>17.5</v>
      </c>
      <c r="E95" s="606">
        <f>'Proy. ventas'!G86</f>
        <v>78</v>
      </c>
      <c r="F95" s="195">
        <f>E95*$L$51</f>
        <v>19.5</v>
      </c>
      <c r="G95" s="606">
        <f>'Proy. ventas'!I86</f>
        <v>86</v>
      </c>
      <c r="H95" s="195">
        <f>G95*$L$51</f>
        <v>21.5</v>
      </c>
      <c r="I95" s="606">
        <f>'Proy. ventas'!K86</f>
        <v>94</v>
      </c>
      <c r="J95" s="195">
        <f>I95*$L$51</f>
        <v>23.5</v>
      </c>
      <c r="K95" s="606">
        <f>'Proy. ventas'!M86</f>
        <v>102</v>
      </c>
      <c r="L95" s="195">
        <f>K95*$L$51</f>
        <v>25.5</v>
      </c>
      <c r="M95" s="606">
        <f>'Proy. ventas'!O86</f>
        <v>110</v>
      </c>
      <c r="N95" s="195">
        <f>M95*$L$51</f>
        <v>27.5</v>
      </c>
      <c r="O95" s="606">
        <f>'Proy. ventas'!Q86</f>
        <v>119</v>
      </c>
      <c r="P95" s="195">
        <f>O95*$L$51</f>
        <v>29.75</v>
      </c>
      <c r="Q95" s="606">
        <f>'Proy. ventas'!S86</f>
        <v>128</v>
      </c>
      <c r="R95" s="195">
        <f>Q95*$L$51</f>
        <v>32</v>
      </c>
      <c r="S95" s="606">
        <f>'Proy. ventas'!U86</f>
        <v>137</v>
      </c>
      <c r="T95" s="195">
        <f>S95*$L$51</f>
        <v>34.25</v>
      </c>
      <c r="U95" s="606">
        <f>'Proy. ventas'!W86</f>
        <v>146</v>
      </c>
      <c r="V95" s="195">
        <f>U95*$L$51</f>
        <v>36.5</v>
      </c>
      <c r="W95" s="606">
        <f>'Proy. ventas'!Y86</f>
        <v>155</v>
      </c>
      <c r="X95" s="195">
        <f>W95*$L$51</f>
        <v>38.75</v>
      </c>
      <c r="Y95" s="606">
        <f>'Proy. ventas'!AA86</f>
        <v>164</v>
      </c>
      <c r="Z95" s="195">
        <f>Y95*$L$51</f>
        <v>41</v>
      </c>
      <c r="AA95" s="519"/>
      <c r="AB95" s="519"/>
      <c r="AC95" s="519"/>
    </row>
    <row r="96" spans="1:29" ht="15.6" customHeight="1">
      <c r="A96" s="616" t="str">
        <f>Hipótesis!B$63</f>
        <v>Abono Plan Cadena</v>
      </c>
      <c r="B96" s="604">
        <f t="shared" si="7"/>
        <v>129.6</v>
      </c>
      <c r="C96" s="606">
        <f>'Proy. ventas'!E87</f>
        <v>11</v>
      </c>
      <c r="D96" s="195">
        <f>C96*$L$70</f>
        <v>6.6</v>
      </c>
      <c r="E96" s="606">
        <f>'Proy. ventas'!G87</f>
        <v>12</v>
      </c>
      <c r="F96" s="195">
        <f>E96*$L$70</f>
        <v>7.1999999999999993</v>
      </c>
      <c r="G96" s="606">
        <f>'Proy. ventas'!I87</f>
        <v>13</v>
      </c>
      <c r="H96" s="195">
        <f>G96*$L$70</f>
        <v>7.8</v>
      </c>
      <c r="I96" s="606">
        <f>'Proy. ventas'!K87</f>
        <v>14</v>
      </c>
      <c r="J96" s="195">
        <f>I96*$L$70</f>
        <v>8.4</v>
      </c>
      <c r="K96" s="606">
        <f>'Proy. ventas'!M87</f>
        <v>15</v>
      </c>
      <c r="L96" s="195">
        <f>K96*$L$70</f>
        <v>9</v>
      </c>
      <c r="M96" s="606">
        <f>'Proy. ventas'!O87</f>
        <v>17</v>
      </c>
      <c r="N96" s="195">
        <f>M96*$L$70</f>
        <v>10.199999999999999</v>
      </c>
      <c r="O96" s="606">
        <f>'Proy. ventas'!Q87</f>
        <v>18</v>
      </c>
      <c r="P96" s="195">
        <f>O96*$L$70</f>
        <v>10.799999999999999</v>
      </c>
      <c r="Q96" s="606">
        <f>'Proy. ventas'!S87</f>
        <v>20</v>
      </c>
      <c r="R96" s="195">
        <f>Q96*$L$70</f>
        <v>12</v>
      </c>
      <c r="S96" s="606">
        <f>'Proy. ventas'!U87</f>
        <v>21</v>
      </c>
      <c r="T96" s="195">
        <f>S96*$L$70</f>
        <v>12.6</v>
      </c>
      <c r="U96" s="606">
        <f>'Proy. ventas'!W87</f>
        <v>23</v>
      </c>
      <c r="V96" s="195">
        <f>U96*$L$70</f>
        <v>13.799999999999999</v>
      </c>
      <c r="W96" s="606">
        <f>'Proy. ventas'!Y87</f>
        <v>25</v>
      </c>
      <c r="X96" s="195">
        <f>W96*$L$70</f>
        <v>15</v>
      </c>
      <c r="Y96" s="606">
        <f>'Proy. ventas'!AA87</f>
        <v>27</v>
      </c>
      <c r="Z96" s="195">
        <f>Y96*$L$70</f>
        <v>16.2</v>
      </c>
      <c r="AA96" s="519"/>
      <c r="AB96" s="519"/>
      <c r="AC96" s="519"/>
    </row>
    <row r="97" spans="1:29" ht="14.4" customHeight="1">
      <c r="A97" s="617" t="s">
        <v>235</v>
      </c>
      <c r="B97" s="613">
        <f t="shared" si="7"/>
        <v>1113.7499999999998</v>
      </c>
      <c r="C97" s="606">
        <f t="shared" ref="C97:Z97" si="8">SUM(C91:C96)</f>
        <v>128</v>
      </c>
      <c r="D97" s="614">
        <f t="shared" si="8"/>
        <v>67.2</v>
      </c>
      <c r="E97" s="606">
        <f t="shared" si="8"/>
        <v>141</v>
      </c>
      <c r="F97" s="614">
        <f t="shared" si="8"/>
        <v>70.400000000000006</v>
      </c>
      <c r="G97" s="606">
        <f t="shared" si="8"/>
        <v>154</v>
      </c>
      <c r="H97" s="614">
        <f t="shared" si="8"/>
        <v>73.599999999999994</v>
      </c>
      <c r="I97" s="606">
        <f t="shared" si="8"/>
        <v>167</v>
      </c>
      <c r="J97" s="614">
        <f t="shared" si="8"/>
        <v>76.800000000000011</v>
      </c>
      <c r="K97" s="606">
        <f t="shared" si="8"/>
        <v>180</v>
      </c>
      <c r="L97" s="614">
        <f t="shared" si="8"/>
        <v>80</v>
      </c>
      <c r="M97" s="606">
        <f t="shared" si="8"/>
        <v>195</v>
      </c>
      <c r="N97" s="614">
        <f t="shared" si="8"/>
        <v>95.8</v>
      </c>
      <c r="O97" s="606">
        <f t="shared" si="8"/>
        <v>209</v>
      </c>
      <c r="P97" s="614">
        <f t="shared" si="8"/>
        <v>90.25</v>
      </c>
      <c r="Q97" s="606">
        <f t="shared" si="8"/>
        <v>225</v>
      </c>
      <c r="R97" s="614">
        <f t="shared" si="8"/>
        <v>106.3</v>
      </c>
      <c r="S97" s="606">
        <f t="shared" si="8"/>
        <v>238</v>
      </c>
      <c r="T97" s="614">
        <f t="shared" si="8"/>
        <v>97.75</v>
      </c>
      <c r="U97" s="606">
        <f t="shared" si="8"/>
        <v>254</v>
      </c>
      <c r="V97" s="614">
        <f t="shared" si="8"/>
        <v>113.8</v>
      </c>
      <c r="W97" s="606">
        <f t="shared" si="8"/>
        <v>271</v>
      </c>
      <c r="X97" s="614">
        <f t="shared" si="8"/>
        <v>118.5</v>
      </c>
      <c r="Y97" s="606">
        <f t="shared" si="8"/>
        <v>289</v>
      </c>
      <c r="Z97" s="614">
        <f t="shared" si="8"/>
        <v>123.35000000000001</v>
      </c>
      <c r="AA97" s="615"/>
      <c r="AB97" s="615"/>
      <c r="AC97" s="615"/>
    </row>
    <row r="98" spans="1:29" ht="14.4" customHeight="1">
      <c r="A98" s="519"/>
      <c r="B98" s="521"/>
      <c r="C98" s="519"/>
      <c r="D98" s="519"/>
      <c r="E98" s="519"/>
      <c r="F98" s="519"/>
      <c r="G98" s="519"/>
      <c r="H98" s="519"/>
      <c r="I98" s="519"/>
      <c r="J98" s="519"/>
      <c r="K98" s="519"/>
      <c r="L98" s="519"/>
      <c r="M98" s="519"/>
      <c r="N98" s="519"/>
      <c r="O98" s="519"/>
      <c r="P98" s="519"/>
      <c r="Q98" s="519"/>
      <c r="R98" s="519"/>
      <c r="S98" s="519"/>
      <c r="T98" s="519"/>
      <c r="U98" s="519"/>
      <c r="V98" s="519"/>
      <c r="W98" s="519"/>
      <c r="X98" s="519"/>
      <c r="Y98" s="519"/>
      <c r="Z98" s="519"/>
      <c r="AA98" s="519"/>
      <c r="AB98" s="519"/>
      <c r="AC98" s="519"/>
    </row>
    <row r="99" spans="1:29" ht="14.4" customHeight="1">
      <c r="A99" s="519"/>
      <c r="B99" s="521"/>
      <c r="C99" s="519"/>
      <c r="D99" s="519"/>
      <c r="E99" s="519"/>
      <c r="F99" s="519"/>
      <c r="G99" s="519"/>
      <c r="H99" s="519"/>
      <c r="I99" s="519"/>
      <c r="J99" s="519"/>
      <c r="K99" s="519"/>
      <c r="L99" s="519"/>
      <c r="M99" s="519"/>
      <c r="N99" s="519"/>
      <c r="O99" s="519"/>
      <c r="P99" s="519"/>
      <c r="Q99" s="519"/>
      <c r="R99" s="519"/>
      <c r="S99" s="519"/>
      <c r="T99" s="519"/>
      <c r="U99" s="519"/>
      <c r="V99" s="519"/>
      <c r="W99" s="519"/>
      <c r="X99" s="519"/>
      <c r="Y99" s="519"/>
      <c r="Z99" s="519"/>
      <c r="AA99" s="519"/>
      <c r="AB99" s="519"/>
      <c r="AC99" s="519"/>
    </row>
    <row r="100" spans="1:29" ht="29.4" customHeight="1">
      <c r="A100" s="742" t="s">
        <v>237</v>
      </c>
      <c r="B100" s="723"/>
      <c r="C100" s="728" t="s">
        <v>79</v>
      </c>
      <c r="D100" s="645"/>
      <c r="E100" s="728" t="s">
        <v>80</v>
      </c>
      <c r="F100" s="645"/>
      <c r="G100" s="728" t="s">
        <v>81</v>
      </c>
      <c r="H100" s="645"/>
      <c r="I100" s="728" t="s">
        <v>82</v>
      </c>
      <c r="J100" s="645"/>
      <c r="K100" s="728" t="s">
        <v>83</v>
      </c>
      <c r="L100" s="645"/>
      <c r="M100" s="728" t="s">
        <v>84</v>
      </c>
      <c r="N100" s="645"/>
      <c r="O100" s="728" t="s">
        <v>85</v>
      </c>
      <c r="P100" s="645"/>
      <c r="Q100" s="728" t="s">
        <v>86</v>
      </c>
      <c r="R100" s="645"/>
      <c r="S100" s="728" t="s">
        <v>87</v>
      </c>
      <c r="T100" s="645"/>
      <c r="U100" s="728" t="s">
        <v>88</v>
      </c>
      <c r="V100" s="645"/>
      <c r="W100" s="728" t="s">
        <v>89</v>
      </c>
      <c r="X100" s="645"/>
      <c r="Y100" s="728" t="s">
        <v>90</v>
      </c>
      <c r="Z100" s="645"/>
      <c r="AA100" s="600"/>
      <c r="AB100" s="600"/>
      <c r="AC100" s="600"/>
    </row>
    <row r="101" spans="1:29" ht="63" customHeight="1" thickBot="1">
      <c r="A101" s="743"/>
      <c r="B101" s="630"/>
      <c r="C101" s="601" t="s">
        <v>232</v>
      </c>
      <c r="D101" s="601" t="s">
        <v>233</v>
      </c>
      <c r="E101" s="601" t="s">
        <v>232</v>
      </c>
      <c r="F101" s="601" t="s">
        <v>234</v>
      </c>
      <c r="G101" s="601" t="s">
        <v>232</v>
      </c>
      <c r="H101" s="601" t="s">
        <v>233</v>
      </c>
      <c r="I101" s="601" t="s">
        <v>232</v>
      </c>
      <c r="J101" s="601" t="s">
        <v>234</v>
      </c>
      <c r="K101" s="601" t="s">
        <v>232</v>
      </c>
      <c r="L101" s="601" t="s">
        <v>233</v>
      </c>
      <c r="M101" s="601" t="s">
        <v>232</v>
      </c>
      <c r="N101" s="601" t="s">
        <v>233</v>
      </c>
      <c r="O101" s="601" t="s">
        <v>232</v>
      </c>
      <c r="P101" s="601" t="s">
        <v>233</v>
      </c>
      <c r="Q101" s="601" t="s">
        <v>232</v>
      </c>
      <c r="R101" s="601" t="s">
        <v>233</v>
      </c>
      <c r="S101" s="601" t="s">
        <v>232</v>
      </c>
      <c r="T101" s="601" t="s">
        <v>233</v>
      </c>
      <c r="U101" s="601" t="s">
        <v>232</v>
      </c>
      <c r="V101" s="601" t="s">
        <v>233</v>
      </c>
      <c r="W101" s="601" t="s">
        <v>232</v>
      </c>
      <c r="X101" s="601" t="s">
        <v>233</v>
      </c>
      <c r="Y101" s="601" t="s">
        <v>232</v>
      </c>
      <c r="Z101" s="601" t="s">
        <v>233</v>
      </c>
      <c r="AA101" s="602"/>
      <c r="AB101" s="602"/>
      <c r="AC101" s="602"/>
    </row>
    <row r="102" spans="1:29" ht="15.6" customHeight="1">
      <c r="A102" s="603" t="str">
        <f>Hipótesis!B$58</f>
        <v>Alta e instalación Plan Básico</v>
      </c>
      <c r="B102" s="604">
        <f t="shared" ref="B102:B108" si="9">D102+F102+H102+J102+L102+N102+P102+R102+T102+V102+X102+Z102</f>
        <v>35.5</v>
      </c>
      <c r="C102" s="606">
        <f>'Proy. ventas'!E144</f>
        <v>6</v>
      </c>
      <c r="D102" s="195">
        <f>C102*$E$32</f>
        <v>3</v>
      </c>
      <c r="E102" s="606">
        <f>'Proy. ventas'!G144</f>
        <v>6</v>
      </c>
      <c r="F102" s="195">
        <f>E102*$E$32</f>
        <v>3</v>
      </c>
      <c r="G102" s="606">
        <f>'Proy. ventas'!I144</f>
        <v>6</v>
      </c>
      <c r="H102" s="195">
        <f>G102*$E$32</f>
        <v>3</v>
      </c>
      <c r="I102" s="606">
        <f>'Proy. ventas'!K144</f>
        <v>6</v>
      </c>
      <c r="J102" s="195">
        <f>I102*$E$32</f>
        <v>3</v>
      </c>
      <c r="K102" s="606">
        <f>'Proy. ventas'!M144</f>
        <v>6</v>
      </c>
      <c r="L102" s="195">
        <f>K102*$E$32</f>
        <v>3</v>
      </c>
      <c r="M102" s="606">
        <f>'Proy. ventas'!O144</f>
        <v>6</v>
      </c>
      <c r="N102" s="195">
        <f>M102*$E$32</f>
        <v>3</v>
      </c>
      <c r="O102" s="606">
        <f>'Proy. ventas'!Q144</f>
        <v>6</v>
      </c>
      <c r="P102" s="195">
        <f>O102*$E$32</f>
        <v>3</v>
      </c>
      <c r="Q102" s="606">
        <f>'Proy. ventas'!S144</f>
        <v>6</v>
      </c>
      <c r="R102" s="195">
        <f>Q102*$E$32</f>
        <v>3</v>
      </c>
      <c r="S102" s="606">
        <f>'Proy. ventas'!U144</f>
        <v>6</v>
      </c>
      <c r="T102" s="195">
        <f>S102*$E$32</f>
        <v>3</v>
      </c>
      <c r="U102" s="606">
        <f>'Proy. ventas'!W144</f>
        <v>6</v>
      </c>
      <c r="V102" s="195">
        <f>U102*$E$32</f>
        <v>3</v>
      </c>
      <c r="W102" s="606">
        <f>'Proy. ventas'!Y144</f>
        <v>6</v>
      </c>
      <c r="X102" s="195">
        <f>W102*$E$32</f>
        <v>3</v>
      </c>
      <c r="Y102" s="606">
        <f>'Proy. ventas'!AA144</f>
        <v>5</v>
      </c>
      <c r="Z102" s="195">
        <f>Y102*$E$32</f>
        <v>2.5</v>
      </c>
      <c r="AA102" s="519"/>
      <c r="AB102" s="519"/>
      <c r="AC102" s="519"/>
    </row>
    <row r="103" spans="1:29" ht="15.6" customHeight="1">
      <c r="A103" s="607" t="str">
        <f>Hipótesis!B$59</f>
        <v>Alta e instalación Plan Vidriera</v>
      </c>
      <c r="B103" s="604">
        <f t="shared" si="9"/>
        <v>429</v>
      </c>
      <c r="C103" s="606">
        <f>'Proy. ventas'!E145</f>
        <v>12</v>
      </c>
      <c r="D103" s="195">
        <f>C103*$E$51</f>
        <v>36</v>
      </c>
      <c r="E103" s="606">
        <f>'Proy. ventas'!G145</f>
        <v>12</v>
      </c>
      <c r="F103" s="195">
        <f>E103*$E$51</f>
        <v>36</v>
      </c>
      <c r="G103" s="606">
        <f>'Proy. ventas'!I145</f>
        <v>12</v>
      </c>
      <c r="H103" s="195">
        <f>G103*$E$51</f>
        <v>36</v>
      </c>
      <c r="I103" s="606">
        <f>'Proy. ventas'!K145</f>
        <v>12</v>
      </c>
      <c r="J103" s="195">
        <f>I103*$E$51</f>
        <v>36</v>
      </c>
      <c r="K103" s="606">
        <f>'Proy. ventas'!M145</f>
        <v>12</v>
      </c>
      <c r="L103" s="195">
        <f>K103*$E$51</f>
        <v>36</v>
      </c>
      <c r="M103" s="606">
        <f>'Proy. ventas'!O145</f>
        <v>12</v>
      </c>
      <c r="N103" s="195">
        <f>M103*$E$51</f>
        <v>36</v>
      </c>
      <c r="O103" s="606">
        <f>'Proy. ventas'!Q145</f>
        <v>12</v>
      </c>
      <c r="P103" s="195">
        <f>O103*$E$51</f>
        <v>36</v>
      </c>
      <c r="Q103" s="606">
        <f>'Proy. ventas'!S145</f>
        <v>12</v>
      </c>
      <c r="R103" s="195">
        <f>Q103*$E$51</f>
        <v>36</v>
      </c>
      <c r="S103" s="606">
        <f>'Proy. ventas'!U145</f>
        <v>12</v>
      </c>
      <c r="T103" s="195">
        <f>S103*$E$51</f>
        <v>36</v>
      </c>
      <c r="U103" s="606">
        <f>'Proy. ventas'!W145</f>
        <v>12</v>
      </c>
      <c r="V103" s="195">
        <f>U103*$E$51</f>
        <v>36</v>
      </c>
      <c r="W103" s="606">
        <f>'Proy. ventas'!Y145</f>
        <v>12</v>
      </c>
      <c r="X103" s="195">
        <f>W103*$E$51</f>
        <v>36</v>
      </c>
      <c r="Y103" s="606">
        <f>'Proy. ventas'!AA145</f>
        <v>11</v>
      </c>
      <c r="Z103" s="195">
        <f>Y103*$E$51</f>
        <v>33</v>
      </c>
      <c r="AA103" s="519"/>
      <c r="AB103" s="519"/>
      <c r="AC103" s="519"/>
    </row>
    <row r="104" spans="1:29" ht="16.2" customHeight="1" thickBot="1">
      <c r="A104" s="608" t="str">
        <f>Hipótesis!B$60</f>
        <v>Alta e instalación Plan Cadena</v>
      </c>
      <c r="B104" s="604">
        <f t="shared" si="9"/>
        <v>288</v>
      </c>
      <c r="C104" s="606">
        <f>'Proy. ventas'!E146</f>
        <v>2</v>
      </c>
      <c r="D104" s="195">
        <f>C104*$E$70</f>
        <v>24</v>
      </c>
      <c r="E104" s="606">
        <f>'Proy. ventas'!G146</f>
        <v>2</v>
      </c>
      <c r="F104" s="195">
        <f>E104*$E$70</f>
        <v>24</v>
      </c>
      <c r="G104" s="606">
        <f>'Proy. ventas'!I146</f>
        <v>2</v>
      </c>
      <c r="H104" s="195">
        <f>G104*$E$70</f>
        <v>24</v>
      </c>
      <c r="I104" s="606">
        <f>'Proy. ventas'!K146</f>
        <v>2</v>
      </c>
      <c r="J104" s="195">
        <f>I104*$E$70</f>
        <v>24</v>
      </c>
      <c r="K104" s="606">
        <f>'Proy. ventas'!M146</f>
        <v>2</v>
      </c>
      <c r="L104" s="195">
        <f>K104*$E$70</f>
        <v>24</v>
      </c>
      <c r="M104" s="606">
        <f>'Proy. ventas'!O146</f>
        <v>2</v>
      </c>
      <c r="N104" s="195">
        <f>M104*$E$70</f>
        <v>24</v>
      </c>
      <c r="O104" s="606">
        <f>'Proy. ventas'!Q146</f>
        <v>2</v>
      </c>
      <c r="P104" s="195">
        <f>O104*$E$70</f>
        <v>24</v>
      </c>
      <c r="Q104" s="606">
        <f>'Proy. ventas'!S146</f>
        <v>2</v>
      </c>
      <c r="R104" s="195">
        <f>Q104*$E$70</f>
        <v>24</v>
      </c>
      <c r="S104" s="606">
        <f>'Proy. ventas'!U146</f>
        <v>2</v>
      </c>
      <c r="T104" s="195">
        <f>S104*$E$70</f>
        <v>24</v>
      </c>
      <c r="U104" s="606">
        <f>'Proy. ventas'!W146</f>
        <v>2</v>
      </c>
      <c r="V104" s="195">
        <f>U104*$E$70</f>
        <v>24</v>
      </c>
      <c r="W104" s="606">
        <f>'Proy. ventas'!Y146</f>
        <v>2</v>
      </c>
      <c r="X104" s="195">
        <f>W104*$E$70</f>
        <v>24</v>
      </c>
      <c r="Y104" s="606">
        <f>'Proy. ventas'!AA146</f>
        <v>2</v>
      </c>
      <c r="Z104" s="195">
        <f>Y104*$E$70</f>
        <v>24</v>
      </c>
      <c r="AA104" s="519"/>
      <c r="AB104" s="519"/>
      <c r="AC104" s="519"/>
    </row>
    <row r="105" spans="1:29" ht="15.6" customHeight="1">
      <c r="A105" s="609" t="str">
        <f>Hipótesis!B$61</f>
        <v>Abono Plan Básico</v>
      </c>
      <c r="B105" s="604">
        <f t="shared" si="9"/>
        <v>215.85000000000005</v>
      </c>
      <c r="C105" s="606">
        <f>'Proy. ventas'!E147</f>
        <v>87</v>
      </c>
      <c r="D105" s="195">
        <f>C105*$L$32</f>
        <v>13.050000000000002</v>
      </c>
      <c r="E105" s="606">
        <f>'Proy. ventas'!G147</f>
        <v>93</v>
      </c>
      <c r="F105" s="195">
        <f>E105*$L$32</f>
        <v>13.950000000000003</v>
      </c>
      <c r="G105" s="606">
        <f>'Proy. ventas'!I147</f>
        <v>99</v>
      </c>
      <c r="H105" s="195">
        <f>G105*$L$32</f>
        <v>14.850000000000001</v>
      </c>
      <c r="I105" s="606">
        <f>'Proy. ventas'!K147</f>
        <v>105</v>
      </c>
      <c r="J105" s="195">
        <f>I105*$L$32</f>
        <v>15.750000000000002</v>
      </c>
      <c r="K105" s="606">
        <f>'Proy. ventas'!M147</f>
        <v>111</v>
      </c>
      <c r="L105" s="195">
        <f>K105*$L$32</f>
        <v>16.650000000000002</v>
      </c>
      <c r="M105" s="606">
        <f>'Proy. ventas'!O147</f>
        <v>117</v>
      </c>
      <c r="N105" s="195">
        <f>M105*$L$32</f>
        <v>17.550000000000004</v>
      </c>
      <c r="O105" s="606">
        <f>'Proy. ventas'!Q147</f>
        <v>123</v>
      </c>
      <c r="P105" s="195">
        <f>O105*$L$32</f>
        <v>18.450000000000003</v>
      </c>
      <c r="Q105" s="606">
        <f>'Proy. ventas'!S147</f>
        <v>129</v>
      </c>
      <c r="R105" s="195">
        <f>Q105*$L$32</f>
        <v>19.350000000000001</v>
      </c>
      <c r="S105" s="606">
        <f>'Proy. ventas'!U147</f>
        <v>135</v>
      </c>
      <c r="T105" s="195">
        <f>S105*$L$32</f>
        <v>20.250000000000004</v>
      </c>
      <c r="U105" s="606">
        <f>'Proy. ventas'!W147</f>
        <v>141</v>
      </c>
      <c r="V105" s="195">
        <f>U105*$L$32</f>
        <v>21.150000000000002</v>
      </c>
      <c r="W105" s="606">
        <f>'Proy. ventas'!Y147</f>
        <v>147</v>
      </c>
      <c r="X105" s="195">
        <f>W105*$L$32</f>
        <v>22.050000000000004</v>
      </c>
      <c r="Y105" s="606">
        <f>'Proy. ventas'!AA147</f>
        <v>152</v>
      </c>
      <c r="Z105" s="195">
        <f>Y105*$L$32</f>
        <v>22.800000000000004</v>
      </c>
      <c r="AA105" s="519"/>
      <c r="AB105" s="519"/>
      <c r="AC105" s="519"/>
    </row>
    <row r="106" spans="1:29" ht="15.6" customHeight="1">
      <c r="A106" s="610" t="str">
        <f>Hipótesis!B$62</f>
        <v>Abono Plan Vidriera</v>
      </c>
      <c r="B106" s="604">
        <f t="shared" si="9"/>
        <v>725.75</v>
      </c>
      <c r="C106" s="606">
        <f>'Proy. ventas'!E148</f>
        <v>176</v>
      </c>
      <c r="D106" s="195">
        <f>C106*$L$51</f>
        <v>44</v>
      </c>
      <c r="E106" s="606">
        <f>'Proy. ventas'!G148</f>
        <v>188</v>
      </c>
      <c r="F106" s="195">
        <f>E106*$L$51</f>
        <v>47</v>
      </c>
      <c r="G106" s="606">
        <f>'Proy. ventas'!I148</f>
        <v>200</v>
      </c>
      <c r="H106" s="195">
        <f>G106*$L$51</f>
        <v>50</v>
      </c>
      <c r="I106" s="606">
        <f>'Proy. ventas'!K148</f>
        <v>212</v>
      </c>
      <c r="J106" s="195">
        <f>I106*$L$51</f>
        <v>53</v>
      </c>
      <c r="K106" s="606">
        <f>'Proy. ventas'!M148</f>
        <v>224</v>
      </c>
      <c r="L106" s="195">
        <f>K106*$L$51</f>
        <v>56</v>
      </c>
      <c r="M106" s="606">
        <f>'Proy. ventas'!O148</f>
        <v>236</v>
      </c>
      <c r="N106" s="195">
        <f>M106*$L$51</f>
        <v>59</v>
      </c>
      <c r="O106" s="606">
        <f>'Proy. ventas'!Q148</f>
        <v>248</v>
      </c>
      <c r="P106" s="195">
        <f>O106*$L$51</f>
        <v>62</v>
      </c>
      <c r="Q106" s="606">
        <f>'Proy. ventas'!S148</f>
        <v>260</v>
      </c>
      <c r="R106" s="195">
        <f>Q106*$L$51</f>
        <v>65</v>
      </c>
      <c r="S106" s="606">
        <f>'Proy. ventas'!U148</f>
        <v>272</v>
      </c>
      <c r="T106" s="195">
        <f>S106*$L$51</f>
        <v>68</v>
      </c>
      <c r="U106" s="606">
        <f>'Proy. ventas'!W148</f>
        <v>284</v>
      </c>
      <c r="V106" s="195">
        <f>U106*$L$51</f>
        <v>71</v>
      </c>
      <c r="W106" s="606">
        <f>'Proy. ventas'!Y148</f>
        <v>296</v>
      </c>
      <c r="X106" s="195">
        <f>W106*$L$51</f>
        <v>74</v>
      </c>
      <c r="Y106" s="606">
        <f>'Proy. ventas'!AA148</f>
        <v>307</v>
      </c>
      <c r="Z106" s="195">
        <f>Y106*$L$51</f>
        <v>76.75</v>
      </c>
      <c r="AA106" s="519"/>
      <c r="AB106" s="519"/>
      <c r="AC106" s="519"/>
    </row>
    <row r="107" spans="1:29" ht="15.6" customHeight="1">
      <c r="A107" s="616" t="str">
        <f>Hipótesis!B$63</f>
        <v>Abono Plan Cadena</v>
      </c>
      <c r="B107" s="604">
        <f t="shared" si="9"/>
        <v>288</v>
      </c>
      <c r="C107" s="606">
        <f>'Proy. ventas'!E149</f>
        <v>29</v>
      </c>
      <c r="D107" s="195">
        <f>C107*$L$70</f>
        <v>17.399999999999999</v>
      </c>
      <c r="E107" s="606">
        <f>'Proy. ventas'!G149</f>
        <v>31</v>
      </c>
      <c r="F107" s="195">
        <f>E107*$L$70</f>
        <v>18.599999999999998</v>
      </c>
      <c r="G107" s="606">
        <f>'Proy. ventas'!I149</f>
        <v>33</v>
      </c>
      <c r="H107" s="195">
        <f>G107*$L$70</f>
        <v>19.8</v>
      </c>
      <c r="I107" s="606">
        <f>'Proy. ventas'!K149</f>
        <v>35</v>
      </c>
      <c r="J107" s="195">
        <f>I107*$L$70</f>
        <v>21</v>
      </c>
      <c r="K107" s="606">
        <f>'Proy. ventas'!M149</f>
        <v>37</v>
      </c>
      <c r="L107" s="195">
        <f>K107*$L$70</f>
        <v>22.2</v>
      </c>
      <c r="M107" s="606">
        <f>'Proy. ventas'!O149</f>
        <v>39</v>
      </c>
      <c r="N107" s="195">
        <f>M107*$L$70</f>
        <v>23.4</v>
      </c>
      <c r="O107" s="606">
        <f>'Proy. ventas'!Q149</f>
        <v>41</v>
      </c>
      <c r="P107" s="195">
        <f>O107*$L$70</f>
        <v>24.599999999999998</v>
      </c>
      <c r="Q107" s="606">
        <f>'Proy. ventas'!S149</f>
        <v>43</v>
      </c>
      <c r="R107" s="195">
        <f>Q107*$L$70</f>
        <v>25.8</v>
      </c>
      <c r="S107" s="606">
        <f>'Proy. ventas'!U149</f>
        <v>45</v>
      </c>
      <c r="T107" s="195">
        <f>S107*$L$70</f>
        <v>27</v>
      </c>
      <c r="U107" s="606">
        <f>'Proy. ventas'!W149</f>
        <v>47</v>
      </c>
      <c r="V107" s="195">
        <f>U107*$L$70</f>
        <v>28.2</v>
      </c>
      <c r="W107" s="606">
        <f>'Proy. ventas'!Y149</f>
        <v>49</v>
      </c>
      <c r="X107" s="195">
        <f>W107*$L$70</f>
        <v>29.4</v>
      </c>
      <c r="Y107" s="606">
        <f>'Proy. ventas'!AA149</f>
        <v>51</v>
      </c>
      <c r="Z107" s="195">
        <f>Y107*$L$70</f>
        <v>30.599999999999998</v>
      </c>
      <c r="AA107" s="519"/>
      <c r="AB107" s="519"/>
      <c r="AC107" s="519"/>
    </row>
    <row r="108" spans="1:29" ht="14.4" customHeight="1">
      <c r="A108" s="617" t="s">
        <v>235</v>
      </c>
      <c r="B108" s="613">
        <f t="shared" si="9"/>
        <v>1982.1000000000001</v>
      </c>
      <c r="C108" s="606">
        <f t="shared" ref="C108:Z108" si="10">SUM(C102:C107)</f>
        <v>312</v>
      </c>
      <c r="D108" s="614">
        <f t="shared" si="10"/>
        <v>137.44999999999999</v>
      </c>
      <c r="E108" s="606">
        <f t="shared" si="10"/>
        <v>332</v>
      </c>
      <c r="F108" s="614">
        <f t="shared" si="10"/>
        <v>142.55000000000001</v>
      </c>
      <c r="G108" s="606">
        <f t="shared" si="10"/>
        <v>352</v>
      </c>
      <c r="H108" s="614">
        <f t="shared" si="10"/>
        <v>147.65</v>
      </c>
      <c r="I108" s="606">
        <f t="shared" si="10"/>
        <v>372</v>
      </c>
      <c r="J108" s="614">
        <f t="shared" si="10"/>
        <v>152.75</v>
      </c>
      <c r="K108" s="606">
        <f t="shared" si="10"/>
        <v>392</v>
      </c>
      <c r="L108" s="614">
        <f t="shared" si="10"/>
        <v>157.85</v>
      </c>
      <c r="M108" s="606">
        <f t="shared" si="10"/>
        <v>412</v>
      </c>
      <c r="N108" s="614">
        <f t="shared" si="10"/>
        <v>162.95000000000002</v>
      </c>
      <c r="O108" s="606">
        <f t="shared" si="10"/>
        <v>432</v>
      </c>
      <c r="P108" s="614">
        <f t="shared" si="10"/>
        <v>168.04999999999998</v>
      </c>
      <c r="Q108" s="606">
        <f t="shared" si="10"/>
        <v>452</v>
      </c>
      <c r="R108" s="614">
        <f t="shared" si="10"/>
        <v>173.15</v>
      </c>
      <c r="S108" s="606">
        <f t="shared" si="10"/>
        <v>472</v>
      </c>
      <c r="T108" s="614">
        <f t="shared" si="10"/>
        <v>178.25</v>
      </c>
      <c r="U108" s="606">
        <f t="shared" si="10"/>
        <v>492</v>
      </c>
      <c r="V108" s="614">
        <f t="shared" si="10"/>
        <v>183.35</v>
      </c>
      <c r="W108" s="606">
        <f t="shared" si="10"/>
        <v>512</v>
      </c>
      <c r="X108" s="614">
        <f t="shared" si="10"/>
        <v>188.45000000000002</v>
      </c>
      <c r="Y108" s="606">
        <f t="shared" si="10"/>
        <v>528</v>
      </c>
      <c r="Z108" s="614">
        <f t="shared" si="10"/>
        <v>189.65</v>
      </c>
      <c r="AA108" s="615"/>
      <c r="AB108" s="615"/>
      <c r="AC108" s="615"/>
    </row>
    <row r="109" spans="1:29" thickBot="1">
      <c r="A109" s="519"/>
      <c r="B109" s="521"/>
      <c r="C109" s="519"/>
      <c r="D109" s="519"/>
      <c r="E109" s="519"/>
      <c r="F109" s="519"/>
      <c r="G109" s="519"/>
      <c r="H109" s="519"/>
      <c r="I109" s="519"/>
      <c r="J109" s="519"/>
      <c r="K109" s="519"/>
      <c r="L109" s="519"/>
      <c r="M109" s="519"/>
      <c r="N109" s="519"/>
      <c r="O109" s="519"/>
      <c r="P109" s="519"/>
      <c r="Q109" s="519"/>
      <c r="R109" s="519"/>
      <c r="S109" s="519"/>
      <c r="T109" s="519"/>
      <c r="U109" s="519"/>
      <c r="V109" s="519"/>
      <c r="W109" s="519"/>
      <c r="X109" s="519"/>
      <c r="Y109" s="519"/>
      <c r="Z109" s="519"/>
      <c r="AA109" s="519"/>
      <c r="AB109" s="519"/>
      <c r="AC109" s="519"/>
    </row>
    <row r="110" spans="1:29" ht="25.8" customHeight="1">
      <c r="A110" s="735" t="s">
        <v>238</v>
      </c>
      <c r="B110" s="636"/>
      <c r="C110" s="636"/>
      <c r="D110" s="636"/>
      <c r="E110" s="636"/>
      <c r="F110" s="636"/>
      <c r="G110" s="636"/>
      <c r="H110" s="636"/>
      <c r="I110" s="519"/>
      <c r="J110" s="519"/>
      <c r="K110" s="519"/>
      <c r="L110" s="519"/>
      <c r="M110" s="519"/>
      <c r="N110" s="519"/>
      <c r="O110" s="519"/>
      <c r="P110" s="519"/>
      <c r="Q110" s="519"/>
      <c r="R110" s="519"/>
      <c r="S110" s="519"/>
      <c r="T110" s="519"/>
      <c r="U110" s="519"/>
      <c r="V110" s="519"/>
      <c r="W110" s="519"/>
      <c r="X110" s="519"/>
      <c r="Y110" s="519"/>
      <c r="Z110" s="519"/>
      <c r="AA110" s="519"/>
      <c r="AB110" s="519"/>
      <c r="AC110" s="519"/>
    </row>
    <row r="111" spans="1:29" ht="14.4" customHeight="1">
      <c r="A111" s="725" t="s">
        <v>239</v>
      </c>
      <c r="B111" s="726"/>
      <c r="C111" s="726"/>
      <c r="D111" s="726"/>
      <c r="E111" s="726"/>
      <c r="F111" s="726"/>
      <c r="G111" s="726"/>
      <c r="H111" s="726"/>
      <c r="I111" s="519"/>
      <c r="J111" s="519"/>
      <c r="K111" s="519"/>
      <c r="L111" s="519"/>
      <c r="M111" s="519"/>
      <c r="N111" s="519"/>
      <c r="O111" s="519"/>
      <c r="P111" s="519"/>
      <c r="Q111" s="519"/>
      <c r="R111" s="519"/>
      <c r="S111" s="519"/>
      <c r="T111" s="519"/>
      <c r="U111" s="519"/>
      <c r="V111" s="519"/>
      <c r="W111" s="519"/>
      <c r="X111" s="519"/>
      <c r="Y111" s="519"/>
      <c r="Z111" s="519"/>
      <c r="AA111" s="519"/>
      <c r="AB111" s="519"/>
      <c r="AC111" s="519"/>
    </row>
    <row r="112" spans="1:29" ht="14.4" customHeight="1">
      <c r="A112" s="671"/>
      <c r="B112" s="726"/>
      <c r="C112" s="726"/>
      <c r="D112" s="726"/>
      <c r="E112" s="726"/>
      <c r="F112" s="726"/>
      <c r="G112" s="726"/>
      <c r="H112" s="726"/>
      <c r="I112" s="519"/>
      <c r="J112" s="519"/>
      <c r="K112" s="519"/>
      <c r="L112" s="519"/>
      <c r="M112" s="519"/>
      <c r="N112" s="519"/>
      <c r="O112" s="519"/>
      <c r="P112" s="519"/>
      <c r="Q112" s="519"/>
      <c r="R112" s="519"/>
      <c r="S112" s="519"/>
      <c r="T112" s="519"/>
      <c r="U112" s="519"/>
      <c r="V112" s="519"/>
      <c r="W112" s="519"/>
      <c r="X112" s="519"/>
      <c r="Y112" s="519"/>
      <c r="Z112" s="519"/>
      <c r="AA112" s="519"/>
      <c r="AB112" s="519"/>
      <c r="AC112" s="519"/>
    </row>
    <row r="113" spans="1:29" ht="14.4" customHeight="1">
      <c r="A113" s="671"/>
      <c r="B113" s="726"/>
      <c r="C113" s="726"/>
      <c r="D113" s="726"/>
      <c r="E113" s="726"/>
      <c r="F113" s="726"/>
      <c r="G113" s="726"/>
      <c r="H113" s="726"/>
      <c r="I113" s="519"/>
      <c r="J113" s="519"/>
      <c r="K113" s="519"/>
      <c r="L113" s="519"/>
      <c r="M113" s="519"/>
      <c r="N113" s="519"/>
      <c r="O113" s="519"/>
      <c r="P113" s="519"/>
      <c r="Q113" s="519"/>
      <c r="R113" s="519"/>
      <c r="S113" s="519"/>
      <c r="T113" s="519"/>
      <c r="U113" s="519"/>
      <c r="V113" s="519"/>
      <c r="W113" s="519"/>
      <c r="X113" s="519"/>
      <c r="Y113" s="519"/>
      <c r="Z113" s="519"/>
      <c r="AA113" s="519"/>
      <c r="AB113" s="519"/>
      <c r="AC113" s="519"/>
    </row>
    <row r="114" spans="1:29" ht="14.4" customHeight="1">
      <c r="A114" s="671"/>
      <c r="B114" s="726"/>
      <c r="C114" s="726"/>
      <c r="D114" s="726"/>
      <c r="E114" s="726"/>
      <c r="F114" s="726"/>
      <c r="G114" s="726"/>
      <c r="H114" s="726"/>
      <c r="I114" s="519"/>
      <c r="J114" s="519"/>
      <c r="K114" s="519"/>
      <c r="L114" s="519"/>
      <c r="M114" s="519"/>
      <c r="N114" s="519"/>
      <c r="O114" s="519"/>
      <c r="P114" s="519"/>
      <c r="Q114" s="519"/>
      <c r="R114" s="519"/>
      <c r="S114" s="519"/>
      <c r="T114" s="519"/>
      <c r="U114" s="519"/>
      <c r="V114" s="519"/>
      <c r="W114" s="519"/>
      <c r="X114" s="519"/>
      <c r="Y114" s="519"/>
      <c r="Z114" s="519"/>
      <c r="AA114" s="519"/>
      <c r="AB114" s="519"/>
      <c r="AC114" s="519"/>
    </row>
    <row r="115" spans="1:29" ht="14.4" customHeight="1">
      <c r="A115" s="671"/>
      <c r="B115" s="726"/>
      <c r="C115" s="726"/>
      <c r="D115" s="726"/>
      <c r="E115" s="726"/>
      <c r="F115" s="726"/>
      <c r="G115" s="726"/>
      <c r="H115" s="726"/>
      <c r="I115" s="519"/>
      <c r="J115" s="519"/>
      <c r="K115" s="519"/>
      <c r="L115" s="519"/>
      <c r="M115" s="519"/>
      <c r="N115" s="519"/>
      <c r="O115" s="519"/>
      <c r="P115" s="519"/>
      <c r="Q115" s="519"/>
      <c r="R115" s="519"/>
      <c r="S115" s="519"/>
      <c r="T115" s="519"/>
      <c r="U115" s="519"/>
      <c r="V115" s="519"/>
      <c r="W115" s="519"/>
      <c r="X115" s="519"/>
      <c r="Y115" s="519"/>
      <c r="Z115" s="519"/>
      <c r="AA115" s="519"/>
      <c r="AB115" s="519"/>
      <c r="AC115" s="519"/>
    </row>
    <row r="116" spans="1:29" ht="14.4" customHeight="1">
      <c r="A116" s="671"/>
      <c r="B116" s="726"/>
      <c r="C116" s="726"/>
      <c r="D116" s="726"/>
      <c r="E116" s="726"/>
      <c r="F116" s="726"/>
      <c r="G116" s="726"/>
      <c r="H116" s="726"/>
      <c r="I116" s="519"/>
      <c r="J116" s="519"/>
      <c r="K116" s="519"/>
      <c r="L116" s="519"/>
      <c r="M116" s="519"/>
      <c r="N116" s="519"/>
      <c r="O116" s="519"/>
      <c r="P116" s="519"/>
      <c r="Q116" s="519"/>
      <c r="R116" s="519"/>
      <c r="S116" s="519"/>
      <c r="T116" s="519"/>
      <c r="U116" s="519"/>
      <c r="V116" s="519"/>
      <c r="W116" s="519"/>
      <c r="X116" s="519"/>
      <c r="Y116" s="519"/>
      <c r="Z116" s="519"/>
      <c r="AA116" s="519"/>
      <c r="AB116" s="519"/>
      <c r="AC116" s="519"/>
    </row>
    <row r="117" spans="1:29" ht="14.4" customHeight="1">
      <c r="A117" s="519"/>
      <c r="B117" s="521"/>
      <c r="C117" s="519"/>
      <c r="D117" s="519"/>
      <c r="E117" s="519"/>
      <c r="F117" s="519"/>
      <c r="G117" s="519"/>
      <c r="H117" s="519"/>
      <c r="I117" s="519"/>
      <c r="J117" s="519"/>
      <c r="K117" s="519"/>
      <c r="L117" s="519"/>
      <c r="M117" s="519"/>
      <c r="N117" s="519"/>
      <c r="O117" s="519"/>
      <c r="P117" s="519"/>
      <c r="Q117" s="519"/>
      <c r="R117" s="519"/>
      <c r="S117" s="519"/>
      <c r="T117" s="519"/>
      <c r="U117" s="519"/>
      <c r="V117" s="519"/>
      <c r="W117" s="519"/>
      <c r="X117" s="519"/>
      <c r="Y117" s="519"/>
      <c r="Z117" s="519"/>
      <c r="AA117" s="519"/>
      <c r="AB117" s="519"/>
      <c r="AC117" s="519"/>
    </row>
    <row r="118" spans="1:29" ht="14.4" customHeight="1">
      <c r="A118" s="519"/>
      <c r="B118" s="521"/>
      <c r="C118" s="519"/>
      <c r="D118" s="519"/>
      <c r="E118" s="519"/>
      <c r="F118" s="519"/>
      <c r="G118" s="519"/>
      <c r="H118" s="519"/>
      <c r="I118" s="519"/>
      <c r="J118" s="519"/>
      <c r="K118" s="519"/>
      <c r="L118" s="519"/>
      <c r="M118" s="519"/>
      <c r="N118" s="519"/>
      <c r="O118" s="519"/>
      <c r="P118" s="519"/>
      <c r="Q118" s="519"/>
      <c r="R118" s="519"/>
      <c r="S118" s="519"/>
      <c r="T118" s="519"/>
      <c r="U118" s="519"/>
      <c r="V118" s="519"/>
      <c r="W118" s="519"/>
      <c r="X118" s="519"/>
      <c r="Y118" s="519"/>
      <c r="Z118" s="519"/>
      <c r="AA118" s="519"/>
      <c r="AB118" s="519"/>
      <c r="AC118" s="519"/>
    </row>
    <row r="119" spans="1:29" ht="14.4" customHeight="1">
      <c r="A119" s="519"/>
      <c r="B119" s="521"/>
      <c r="C119" s="519"/>
      <c r="D119" s="519"/>
      <c r="E119" s="519"/>
      <c r="F119" s="519"/>
      <c r="G119" s="519"/>
      <c r="H119" s="519"/>
      <c r="I119" s="519"/>
      <c r="J119" s="519"/>
      <c r="K119" s="519"/>
      <c r="L119" s="519"/>
      <c r="M119" s="519"/>
      <c r="N119" s="519"/>
      <c r="O119" s="519"/>
      <c r="P119" s="519"/>
      <c r="Q119" s="519"/>
      <c r="R119" s="519"/>
      <c r="S119" s="519"/>
      <c r="T119" s="519"/>
      <c r="U119" s="519"/>
      <c r="V119" s="519"/>
      <c r="W119" s="519"/>
      <c r="X119" s="519"/>
      <c r="Y119" s="519"/>
      <c r="Z119" s="519"/>
      <c r="AA119" s="519"/>
      <c r="AB119" s="519"/>
      <c r="AC119" s="519"/>
    </row>
    <row r="120" spans="1:29" ht="14.4" customHeight="1">
      <c r="A120" s="519"/>
      <c r="B120" s="521"/>
      <c r="C120" s="519"/>
      <c r="D120" s="519"/>
      <c r="E120" s="519"/>
      <c r="F120" s="519"/>
      <c r="G120" s="519"/>
      <c r="H120" s="519"/>
      <c r="I120" s="519"/>
      <c r="J120" s="519"/>
      <c r="K120" s="519"/>
      <c r="L120" s="519"/>
      <c r="M120" s="519"/>
      <c r="N120" s="519"/>
      <c r="O120" s="519"/>
      <c r="P120" s="519"/>
      <c r="Q120" s="519"/>
      <c r="R120" s="519"/>
      <c r="S120" s="519"/>
      <c r="T120" s="519"/>
      <c r="U120" s="519"/>
      <c r="V120" s="519"/>
      <c r="W120" s="519"/>
      <c r="X120" s="519"/>
      <c r="Y120" s="519"/>
      <c r="Z120" s="519"/>
      <c r="AA120" s="519"/>
      <c r="AB120" s="519"/>
      <c r="AC120" s="519"/>
    </row>
    <row r="121" spans="1:29" ht="14.4" customHeight="1">
      <c r="A121" s="519"/>
      <c r="B121" s="521"/>
      <c r="C121" s="519"/>
      <c r="D121" s="519"/>
      <c r="E121" s="519"/>
      <c r="F121" s="519"/>
      <c r="G121" s="519"/>
      <c r="H121" s="519"/>
      <c r="I121" s="519"/>
      <c r="J121" s="519"/>
      <c r="K121" s="519"/>
      <c r="L121" s="519"/>
      <c r="M121" s="519"/>
      <c r="N121" s="519"/>
      <c r="O121" s="519"/>
      <c r="P121" s="519"/>
      <c r="Q121" s="519"/>
      <c r="R121" s="519"/>
      <c r="S121" s="519"/>
      <c r="T121" s="519"/>
      <c r="U121" s="519"/>
      <c r="V121" s="519"/>
      <c r="W121" s="519"/>
      <c r="X121" s="519"/>
      <c r="Y121" s="519"/>
      <c r="Z121" s="519"/>
      <c r="AA121" s="519"/>
      <c r="AB121" s="519"/>
      <c r="AC121" s="519"/>
    </row>
    <row r="122" spans="1:29" ht="14.4" customHeight="1">
      <c r="A122" s="519"/>
      <c r="B122" s="521"/>
      <c r="C122" s="519"/>
      <c r="D122" s="519"/>
      <c r="E122" s="519"/>
      <c r="F122" s="519"/>
      <c r="G122" s="519"/>
      <c r="H122" s="519"/>
      <c r="I122" s="519"/>
      <c r="J122" s="519"/>
      <c r="K122" s="519"/>
      <c r="L122" s="519"/>
      <c r="M122" s="519"/>
      <c r="N122" s="519"/>
      <c r="O122" s="519"/>
      <c r="P122" s="519"/>
      <c r="Q122" s="519"/>
      <c r="R122" s="519"/>
      <c r="S122" s="519"/>
      <c r="T122" s="519"/>
      <c r="U122" s="519"/>
      <c r="V122" s="519"/>
      <c r="W122" s="519"/>
      <c r="X122" s="519"/>
      <c r="Y122" s="519"/>
      <c r="Z122" s="519"/>
      <c r="AA122" s="519"/>
      <c r="AB122" s="519"/>
      <c r="AC122" s="519"/>
    </row>
    <row r="123" spans="1:29" ht="14.4" customHeight="1">
      <c r="A123" s="519"/>
      <c r="B123" s="521"/>
      <c r="C123" s="519"/>
      <c r="D123" s="519"/>
      <c r="E123" s="519"/>
      <c r="F123" s="519"/>
      <c r="G123" s="519"/>
      <c r="H123" s="519"/>
      <c r="I123" s="519"/>
      <c r="J123" s="519"/>
      <c r="K123" s="519"/>
      <c r="L123" s="519"/>
      <c r="M123" s="519"/>
      <c r="N123" s="519"/>
      <c r="O123" s="519"/>
      <c r="P123" s="519"/>
      <c r="Q123" s="519"/>
      <c r="R123" s="519"/>
      <c r="S123" s="519"/>
      <c r="T123" s="519"/>
      <c r="U123" s="519"/>
      <c r="V123" s="519"/>
      <c r="W123" s="519"/>
      <c r="X123" s="519"/>
      <c r="Y123" s="519"/>
      <c r="Z123" s="519"/>
      <c r="AA123" s="519"/>
      <c r="AB123" s="519"/>
      <c r="AC123" s="519"/>
    </row>
    <row r="124" spans="1:29" ht="14.4" customHeight="1">
      <c r="A124" s="519"/>
      <c r="B124" s="521"/>
      <c r="C124" s="519"/>
      <c r="D124" s="519"/>
      <c r="E124" s="519"/>
      <c r="F124" s="519"/>
      <c r="G124" s="519"/>
      <c r="H124" s="519"/>
      <c r="I124" s="519"/>
      <c r="J124" s="519"/>
      <c r="K124" s="519"/>
      <c r="L124" s="519"/>
      <c r="M124" s="519"/>
      <c r="N124" s="519"/>
      <c r="O124" s="519"/>
      <c r="P124" s="519"/>
      <c r="Q124" s="519"/>
      <c r="R124" s="519"/>
      <c r="S124" s="519"/>
      <c r="T124" s="519"/>
      <c r="U124" s="519"/>
      <c r="V124" s="519"/>
      <c r="W124" s="519"/>
      <c r="X124" s="519"/>
      <c r="Y124" s="519"/>
      <c r="Z124" s="519"/>
      <c r="AA124" s="519"/>
      <c r="AB124" s="519"/>
      <c r="AC124" s="519"/>
    </row>
    <row r="125" spans="1:29" ht="14.4" customHeight="1">
      <c r="A125" s="519"/>
      <c r="B125" s="521"/>
      <c r="C125" s="519"/>
      <c r="D125" s="519"/>
      <c r="E125" s="519"/>
      <c r="F125" s="519"/>
      <c r="G125" s="519"/>
      <c r="H125" s="519"/>
      <c r="I125" s="519"/>
      <c r="J125" s="519"/>
      <c r="K125" s="519"/>
      <c r="L125" s="519"/>
      <c r="M125" s="519"/>
      <c r="N125" s="519"/>
      <c r="O125" s="519"/>
      <c r="P125" s="519"/>
      <c r="Q125" s="519"/>
      <c r="R125" s="519"/>
      <c r="S125" s="519"/>
      <c r="T125" s="519"/>
      <c r="U125" s="519"/>
      <c r="V125" s="519"/>
      <c r="W125" s="519"/>
      <c r="X125" s="519"/>
      <c r="Y125" s="519"/>
      <c r="Z125" s="519"/>
      <c r="AA125" s="519"/>
      <c r="AB125" s="519"/>
      <c r="AC125" s="519"/>
    </row>
    <row r="126" spans="1:29" ht="14.4" customHeight="1">
      <c r="A126" s="519"/>
      <c r="B126" s="521"/>
      <c r="C126" s="519"/>
      <c r="D126" s="519"/>
      <c r="E126" s="519"/>
      <c r="F126" s="519"/>
      <c r="G126" s="519"/>
      <c r="H126" s="519"/>
      <c r="I126" s="519"/>
      <c r="J126" s="519"/>
      <c r="K126" s="519"/>
      <c r="L126" s="519"/>
      <c r="M126" s="519"/>
      <c r="N126" s="519"/>
      <c r="O126" s="519"/>
      <c r="P126" s="519"/>
      <c r="Q126" s="519"/>
      <c r="R126" s="519"/>
      <c r="S126" s="519"/>
      <c r="T126" s="519"/>
      <c r="U126" s="519"/>
      <c r="V126" s="519"/>
      <c r="W126" s="519"/>
      <c r="X126" s="519"/>
      <c r="Y126" s="519"/>
      <c r="Z126" s="519"/>
      <c r="AA126" s="519"/>
      <c r="AB126" s="519"/>
      <c r="AC126" s="519"/>
    </row>
    <row r="127" spans="1:29" ht="14.4" customHeight="1">
      <c r="A127" s="519"/>
      <c r="B127" s="521"/>
      <c r="C127" s="519"/>
      <c r="D127" s="519"/>
      <c r="E127" s="519"/>
      <c r="F127" s="519"/>
      <c r="G127" s="519"/>
      <c r="H127" s="519"/>
      <c r="I127" s="519"/>
      <c r="J127" s="519"/>
      <c r="K127" s="519"/>
      <c r="L127" s="519"/>
      <c r="M127" s="519"/>
      <c r="N127" s="519"/>
      <c r="O127" s="519"/>
      <c r="P127" s="519"/>
      <c r="Q127" s="519"/>
      <c r="R127" s="519"/>
      <c r="S127" s="519"/>
      <c r="T127" s="519"/>
      <c r="U127" s="519"/>
      <c r="V127" s="519"/>
      <c r="W127" s="519"/>
      <c r="X127" s="519"/>
      <c r="Y127" s="519"/>
      <c r="Z127" s="519"/>
      <c r="AA127" s="519"/>
      <c r="AB127" s="519"/>
      <c r="AC127" s="519"/>
    </row>
    <row r="128" spans="1:29" ht="14.4" customHeight="1">
      <c r="B128" s="519"/>
      <c r="C128" s="521"/>
      <c r="D128" s="519"/>
      <c r="E128" s="519"/>
      <c r="F128" s="519"/>
      <c r="G128" s="519"/>
      <c r="H128" s="519"/>
      <c r="I128" s="519"/>
      <c r="J128" s="519"/>
      <c r="K128" s="519"/>
      <c r="L128" s="519"/>
      <c r="M128" s="519"/>
      <c r="N128" s="519"/>
      <c r="O128" s="519"/>
      <c r="P128" s="519"/>
      <c r="Q128" s="519"/>
      <c r="R128" s="519"/>
      <c r="S128" s="519"/>
      <c r="T128" s="519"/>
      <c r="U128" s="519"/>
      <c r="V128" s="519"/>
      <c r="W128" s="519"/>
      <c r="X128" s="519"/>
      <c r="Y128" s="519"/>
      <c r="Z128" s="519"/>
      <c r="AA128" s="519"/>
      <c r="AB128" s="519"/>
      <c r="AC128" s="519"/>
    </row>
    <row r="129" spans="1:29" ht="14.4" customHeight="1">
      <c r="A129" s="519"/>
      <c r="B129" s="519"/>
      <c r="C129" s="521"/>
      <c r="D129" s="542"/>
      <c r="E129" s="542"/>
      <c r="F129" s="542"/>
      <c r="G129" s="542"/>
      <c r="H129" s="542"/>
      <c r="I129" s="542"/>
      <c r="J129" s="542"/>
      <c r="K129" s="519"/>
      <c r="L129" s="519"/>
      <c r="M129" s="519"/>
      <c r="N129" s="519"/>
      <c r="O129" s="519"/>
      <c r="P129" s="519"/>
      <c r="Q129" s="519"/>
      <c r="R129" s="519"/>
      <c r="S129" s="519"/>
      <c r="T129" s="519"/>
      <c r="U129" s="519"/>
      <c r="V129" s="519"/>
      <c r="W129" s="519"/>
      <c r="X129" s="519"/>
      <c r="Y129" s="519"/>
      <c r="Z129" s="519"/>
      <c r="AA129" s="519"/>
      <c r="AB129" s="519"/>
      <c r="AC129" s="519"/>
    </row>
    <row r="130" spans="1:29" ht="14.4" customHeight="1">
      <c r="A130" s="519"/>
      <c r="B130" s="521"/>
      <c r="C130" s="519"/>
      <c r="D130" s="519"/>
      <c r="E130" s="519"/>
      <c r="F130" s="519"/>
      <c r="G130" s="519"/>
      <c r="H130" s="519"/>
      <c r="I130" s="519"/>
      <c r="J130" s="519"/>
      <c r="K130" s="519"/>
      <c r="L130" s="519"/>
      <c r="M130" s="519"/>
      <c r="N130" s="519"/>
      <c r="O130" s="519"/>
      <c r="P130" s="519"/>
      <c r="Q130" s="519"/>
      <c r="R130" s="519"/>
      <c r="S130" s="519"/>
      <c r="T130" s="519"/>
      <c r="U130" s="519"/>
      <c r="V130" s="519"/>
      <c r="W130" s="519"/>
      <c r="X130" s="519"/>
      <c r="Y130" s="519"/>
      <c r="Z130" s="519"/>
      <c r="AA130" s="519"/>
      <c r="AB130" s="519"/>
      <c r="AC130" s="519"/>
    </row>
    <row r="131" spans="1:29" ht="14.4" customHeight="1">
      <c r="A131" s="519"/>
      <c r="B131" s="521"/>
      <c r="C131" s="519"/>
      <c r="D131" s="519"/>
      <c r="E131" s="519"/>
      <c r="F131" s="519"/>
      <c r="G131" s="519"/>
      <c r="H131" s="519"/>
      <c r="I131" s="519"/>
      <c r="J131" s="519"/>
      <c r="K131" s="519"/>
      <c r="L131" s="519"/>
      <c r="M131" s="519"/>
      <c r="N131" s="519"/>
      <c r="O131" s="519"/>
      <c r="P131" s="519"/>
      <c r="Q131" s="519"/>
      <c r="R131" s="519"/>
      <c r="S131" s="519"/>
      <c r="T131" s="519"/>
      <c r="U131" s="519"/>
      <c r="V131" s="519"/>
      <c r="W131" s="519"/>
      <c r="X131" s="519"/>
      <c r="Y131" s="519"/>
      <c r="Z131" s="519"/>
      <c r="AA131" s="519"/>
      <c r="AB131" s="519"/>
      <c r="AC131" s="519"/>
    </row>
    <row r="132" spans="1:29" ht="14.4" customHeight="1">
      <c r="A132" s="519"/>
      <c r="B132" s="521"/>
      <c r="C132" s="519"/>
      <c r="D132" s="519"/>
      <c r="E132" s="519"/>
      <c r="F132" s="519"/>
      <c r="G132" s="519"/>
      <c r="H132" s="519"/>
      <c r="I132" s="519"/>
      <c r="J132" s="519"/>
      <c r="K132" s="519"/>
      <c r="L132" s="519"/>
      <c r="M132" s="519"/>
      <c r="N132" s="519"/>
      <c r="O132" s="519"/>
      <c r="P132" s="519"/>
      <c r="Q132" s="519"/>
      <c r="R132" s="519"/>
      <c r="S132" s="519"/>
      <c r="T132" s="519"/>
      <c r="U132" s="519"/>
      <c r="V132" s="519"/>
      <c r="W132" s="519"/>
      <c r="X132" s="519"/>
      <c r="Y132" s="519"/>
      <c r="Z132" s="519"/>
      <c r="AA132" s="519"/>
      <c r="AB132" s="519"/>
      <c r="AC132" s="519"/>
    </row>
    <row r="133" spans="1:29" ht="14.4" customHeight="1">
      <c r="A133" s="519"/>
      <c r="B133" s="521"/>
      <c r="C133" s="519"/>
      <c r="D133" s="519"/>
      <c r="E133" s="519"/>
      <c r="F133" s="519"/>
      <c r="G133" s="519"/>
      <c r="H133" s="519"/>
      <c r="I133" s="519"/>
      <c r="J133" s="519"/>
      <c r="K133" s="519"/>
      <c r="L133" s="519"/>
      <c r="M133" s="519"/>
      <c r="N133" s="519"/>
      <c r="O133" s="519"/>
      <c r="P133" s="519"/>
      <c r="Q133" s="519"/>
      <c r="R133" s="519"/>
      <c r="S133" s="519"/>
      <c r="T133" s="519"/>
      <c r="U133" s="519"/>
      <c r="V133" s="519"/>
      <c r="W133" s="519"/>
      <c r="X133" s="519"/>
      <c r="Y133" s="519"/>
      <c r="Z133" s="519"/>
      <c r="AA133" s="519"/>
      <c r="AB133" s="519"/>
      <c r="AC133" s="519"/>
    </row>
    <row r="134" spans="1:29" ht="14.4" customHeight="1">
      <c r="A134" s="519"/>
      <c r="B134" s="521"/>
      <c r="C134" s="519"/>
      <c r="D134" s="519"/>
      <c r="E134" s="519"/>
      <c r="F134" s="519"/>
      <c r="G134" s="519"/>
      <c r="H134" s="519"/>
      <c r="I134" s="519"/>
      <c r="J134" s="519"/>
      <c r="K134" s="519"/>
      <c r="L134" s="519"/>
      <c r="M134" s="519"/>
      <c r="N134" s="519"/>
      <c r="O134" s="519"/>
      <c r="P134" s="519"/>
      <c r="Q134" s="519"/>
      <c r="R134" s="519"/>
      <c r="S134" s="519"/>
      <c r="T134" s="519"/>
      <c r="U134" s="519"/>
      <c r="V134" s="519"/>
      <c r="W134" s="519"/>
      <c r="X134" s="519"/>
      <c r="Y134" s="519"/>
      <c r="Z134" s="519"/>
      <c r="AA134" s="519"/>
      <c r="AB134" s="519"/>
      <c r="AC134" s="519"/>
    </row>
    <row r="135" spans="1:29" ht="14.4" customHeight="1">
      <c r="A135" s="519"/>
      <c r="B135" s="521"/>
      <c r="C135" s="519"/>
      <c r="D135" s="519"/>
      <c r="E135" s="519"/>
      <c r="F135" s="519"/>
      <c r="G135" s="519"/>
      <c r="H135" s="519"/>
      <c r="I135" s="519"/>
      <c r="J135" s="519"/>
      <c r="K135" s="519"/>
      <c r="L135" s="519"/>
      <c r="M135" s="519"/>
      <c r="N135" s="519"/>
      <c r="O135" s="519"/>
      <c r="P135" s="519"/>
      <c r="Q135" s="519"/>
      <c r="R135" s="519"/>
      <c r="S135" s="519"/>
      <c r="T135" s="519"/>
      <c r="U135" s="519"/>
      <c r="V135" s="519"/>
      <c r="W135" s="519"/>
      <c r="X135" s="519"/>
      <c r="Y135" s="519"/>
      <c r="Z135" s="519"/>
      <c r="AA135" s="519"/>
      <c r="AB135" s="519"/>
      <c r="AC135" s="519"/>
    </row>
    <row r="136" spans="1:29" ht="14.4" customHeight="1">
      <c r="A136" s="519"/>
      <c r="B136" s="521"/>
      <c r="C136" s="519"/>
      <c r="D136" s="519"/>
      <c r="E136" s="519"/>
      <c r="F136" s="519"/>
      <c r="G136" s="519"/>
      <c r="H136" s="519"/>
      <c r="I136" s="519"/>
      <c r="J136" s="519"/>
      <c r="K136" s="519"/>
      <c r="L136" s="519"/>
      <c r="M136" s="519"/>
      <c r="N136" s="519"/>
      <c r="O136" s="519"/>
      <c r="P136" s="519"/>
      <c r="Q136" s="519"/>
      <c r="R136" s="519"/>
      <c r="S136" s="519"/>
      <c r="T136" s="519"/>
      <c r="U136" s="519"/>
      <c r="V136" s="519"/>
      <c r="W136" s="519"/>
      <c r="X136" s="519"/>
      <c r="Y136" s="519"/>
      <c r="Z136" s="519"/>
      <c r="AA136" s="519"/>
      <c r="AB136" s="519"/>
      <c r="AC136" s="519"/>
    </row>
    <row r="137" spans="1:29" ht="14.4" customHeight="1">
      <c r="A137" s="519"/>
      <c r="B137" s="521"/>
      <c r="C137" s="519"/>
      <c r="D137" s="519"/>
      <c r="E137" s="519"/>
      <c r="F137" s="519"/>
      <c r="G137" s="519"/>
      <c r="H137" s="519"/>
      <c r="I137" s="519"/>
      <c r="J137" s="519"/>
      <c r="K137" s="519"/>
      <c r="L137" s="519"/>
      <c r="M137" s="519"/>
      <c r="N137" s="519"/>
      <c r="O137" s="519"/>
      <c r="P137" s="519"/>
      <c r="Q137" s="519"/>
      <c r="R137" s="519"/>
      <c r="S137" s="519"/>
      <c r="T137" s="519"/>
      <c r="U137" s="519"/>
      <c r="V137" s="519"/>
      <c r="W137" s="519"/>
      <c r="X137" s="519"/>
      <c r="Y137" s="519"/>
      <c r="Z137" s="519"/>
      <c r="AA137" s="519"/>
      <c r="AB137" s="519"/>
      <c r="AC137" s="519"/>
    </row>
    <row r="138" spans="1:29" ht="14.4" customHeight="1">
      <c r="A138" s="519"/>
      <c r="B138" s="521"/>
      <c r="C138" s="519"/>
      <c r="D138" s="519"/>
      <c r="E138" s="519"/>
      <c r="F138" s="519"/>
      <c r="G138" s="519"/>
      <c r="H138" s="519"/>
      <c r="I138" s="519"/>
      <c r="J138" s="519"/>
      <c r="K138" s="519"/>
      <c r="L138" s="519"/>
      <c r="M138" s="519"/>
      <c r="N138" s="519"/>
      <c r="O138" s="519"/>
      <c r="P138" s="519"/>
      <c r="Q138" s="519"/>
      <c r="R138" s="519"/>
      <c r="S138" s="519"/>
      <c r="T138" s="519"/>
      <c r="U138" s="519"/>
      <c r="V138" s="519"/>
      <c r="W138" s="519"/>
      <c r="X138" s="519"/>
      <c r="Y138" s="519"/>
      <c r="Z138" s="519"/>
      <c r="AA138" s="519"/>
      <c r="AB138" s="519"/>
      <c r="AC138" s="519"/>
    </row>
    <row r="139" spans="1:29" ht="14.4" customHeight="1">
      <c r="A139" s="519"/>
      <c r="B139" s="521"/>
      <c r="C139" s="519"/>
      <c r="D139" s="519"/>
      <c r="E139" s="519"/>
      <c r="F139" s="519"/>
      <c r="G139" s="519"/>
      <c r="H139" s="519"/>
      <c r="I139" s="519"/>
      <c r="J139" s="519"/>
      <c r="K139" s="519"/>
      <c r="L139" s="519"/>
      <c r="M139" s="519"/>
      <c r="N139" s="519"/>
      <c r="O139" s="519"/>
      <c r="P139" s="519"/>
      <c r="Q139" s="519"/>
      <c r="R139" s="519"/>
      <c r="S139" s="519"/>
      <c r="T139" s="519"/>
      <c r="U139" s="519"/>
      <c r="V139" s="519"/>
      <c r="W139" s="519"/>
      <c r="X139" s="519"/>
      <c r="Y139" s="519"/>
      <c r="Z139" s="519"/>
      <c r="AA139" s="519"/>
      <c r="AB139" s="519"/>
      <c r="AC139" s="519"/>
    </row>
    <row r="140" spans="1:29" ht="14.4" customHeight="1">
      <c r="A140" s="519"/>
      <c r="B140" s="521"/>
      <c r="C140" s="519"/>
      <c r="D140" s="519"/>
      <c r="E140" s="519"/>
      <c r="F140" s="519"/>
      <c r="G140" s="519"/>
      <c r="H140" s="519"/>
      <c r="I140" s="519"/>
      <c r="J140" s="519"/>
      <c r="K140" s="519"/>
      <c r="L140" s="519"/>
      <c r="M140" s="519"/>
      <c r="N140" s="519"/>
      <c r="O140" s="519"/>
      <c r="P140" s="519"/>
      <c r="Q140" s="519"/>
      <c r="R140" s="519"/>
      <c r="S140" s="519"/>
      <c r="T140" s="519"/>
      <c r="U140" s="519"/>
      <c r="V140" s="519"/>
      <c r="W140" s="519"/>
      <c r="X140" s="519"/>
      <c r="Y140" s="519"/>
      <c r="Z140" s="519"/>
      <c r="AA140" s="519"/>
      <c r="AB140" s="519"/>
      <c r="AC140" s="519"/>
    </row>
    <row r="141" spans="1:29" ht="14.4" customHeight="1">
      <c r="A141" s="519"/>
      <c r="B141" s="521"/>
      <c r="C141" s="519"/>
      <c r="D141" s="519"/>
      <c r="E141" s="519"/>
      <c r="F141" s="519"/>
      <c r="G141" s="519"/>
      <c r="H141" s="519"/>
      <c r="I141" s="519"/>
      <c r="J141" s="519"/>
      <c r="K141" s="519"/>
      <c r="L141" s="519"/>
      <c r="M141" s="519"/>
      <c r="N141" s="519"/>
      <c r="O141" s="519"/>
      <c r="P141" s="519"/>
      <c r="Q141" s="519"/>
      <c r="R141" s="519"/>
      <c r="S141" s="519"/>
      <c r="T141" s="519"/>
      <c r="U141" s="519"/>
      <c r="V141" s="519"/>
      <c r="W141" s="519"/>
      <c r="X141" s="519"/>
      <c r="Y141" s="519"/>
      <c r="Z141" s="519"/>
      <c r="AA141" s="519"/>
      <c r="AB141" s="519"/>
      <c r="AC141" s="519"/>
    </row>
    <row r="142" spans="1:29" ht="14.4" customHeight="1">
      <c r="A142" s="519"/>
      <c r="B142" s="521"/>
      <c r="C142" s="519"/>
      <c r="D142" s="519"/>
      <c r="E142" s="519"/>
      <c r="F142" s="519"/>
      <c r="G142" s="519"/>
      <c r="H142" s="519"/>
      <c r="I142" s="519"/>
      <c r="J142" s="519"/>
      <c r="K142" s="519"/>
      <c r="L142" s="519"/>
      <c r="M142" s="519"/>
      <c r="N142" s="519"/>
      <c r="O142" s="519"/>
      <c r="P142" s="519"/>
      <c r="Q142" s="519"/>
      <c r="R142" s="519"/>
      <c r="S142" s="519"/>
      <c r="T142" s="519"/>
      <c r="U142" s="519"/>
      <c r="V142" s="519"/>
      <c r="W142" s="519"/>
      <c r="X142" s="519"/>
      <c r="Y142" s="519"/>
      <c r="Z142" s="519"/>
      <c r="AA142" s="519"/>
      <c r="AB142" s="519"/>
      <c r="AC142" s="519"/>
    </row>
    <row r="143" spans="1:29" ht="14.4" customHeight="1">
      <c r="A143" s="519"/>
      <c r="B143" s="521"/>
      <c r="C143" s="519"/>
      <c r="D143" s="519"/>
      <c r="E143" s="519"/>
      <c r="F143" s="519"/>
      <c r="G143" s="519"/>
      <c r="H143" s="519"/>
      <c r="I143" s="519"/>
      <c r="J143" s="519"/>
      <c r="K143" s="519"/>
      <c r="L143" s="519"/>
      <c r="M143" s="519"/>
      <c r="N143" s="519"/>
      <c r="O143" s="519"/>
      <c r="P143" s="519"/>
      <c r="Q143" s="519"/>
      <c r="R143" s="519"/>
      <c r="S143" s="519"/>
      <c r="T143" s="519"/>
      <c r="U143" s="519"/>
      <c r="V143" s="519"/>
      <c r="W143" s="519"/>
      <c r="X143" s="519"/>
      <c r="Y143" s="519"/>
      <c r="Z143" s="519"/>
      <c r="AA143" s="519"/>
      <c r="AB143" s="519"/>
      <c r="AC143" s="519"/>
    </row>
    <row r="144" spans="1:29" ht="14.4" customHeight="1">
      <c r="A144" s="519"/>
      <c r="B144" s="521"/>
      <c r="C144" s="519"/>
      <c r="D144" s="519"/>
      <c r="E144" s="519"/>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row>
    <row r="145" spans="1:29" ht="14.4" customHeight="1">
      <c r="A145" s="519"/>
      <c r="B145" s="521"/>
      <c r="C145" s="519"/>
      <c r="D145" s="519"/>
      <c r="E145" s="519"/>
      <c r="F145" s="519"/>
      <c r="G145" s="519"/>
      <c r="H145" s="519"/>
      <c r="I145" s="519"/>
      <c r="J145" s="519"/>
      <c r="K145" s="519"/>
      <c r="L145" s="519"/>
      <c r="M145" s="519"/>
      <c r="N145" s="519"/>
      <c r="O145" s="519"/>
      <c r="P145" s="519"/>
      <c r="Q145" s="519"/>
      <c r="R145" s="519"/>
      <c r="S145" s="519"/>
      <c r="T145" s="519"/>
      <c r="U145" s="519"/>
      <c r="V145" s="519"/>
      <c r="W145" s="519"/>
      <c r="X145" s="519"/>
      <c r="Y145" s="519"/>
      <c r="Z145" s="519"/>
      <c r="AA145" s="519"/>
      <c r="AB145" s="519"/>
      <c r="AC145" s="519"/>
    </row>
    <row r="146" spans="1:29" ht="14.4" customHeight="1">
      <c r="A146" s="519"/>
      <c r="B146" s="521"/>
      <c r="C146" s="519"/>
      <c r="D146" s="519"/>
      <c r="E146" s="519"/>
      <c r="F146" s="519"/>
      <c r="G146" s="519"/>
      <c r="H146" s="519"/>
      <c r="I146" s="519"/>
      <c r="J146" s="519"/>
      <c r="K146" s="519"/>
      <c r="L146" s="519"/>
      <c r="M146" s="519"/>
      <c r="N146" s="519"/>
      <c r="O146" s="519"/>
      <c r="P146" s="519"/>
      <c r="Q146" s="519"/>
      <c r="R146" s="519"/>
      <c r="S146" s="519"/>
      <c r="T146" s="519"/>
      <c r="U146" s="519"/>
      <c r="V146" s="519"/>
      <c r="W146" s="519"/>
      <c r="X146" s="519"/>
      <c r="Y146" s="519"/>
      <c r="Z146" s="519"/>
      <c r="AA146" s="519"/>
      <c r="AB146" s="519"/>
      <c r="AC146" s="519"/>
    </row>
    <row r="147" spans="1:29" ht="14.4" customHeight="1">
      <c r="A147" s="519"/>
      <c r="B147" s="521"/>
      <c r="C147" s="519"/>
      <c r="D147" s="519"/>
      <c r="E147" s="519"/>
      <c r="F147" s="519"/>
      <c r="G147" s="519"/>
      <c r="H147" s="519"/>
      <c r="I147" s="519"/>
      <c r="J147" s="519"/>
      <c r="K147" s="519"/>
      <c r="L147" s="519"/>
      <c r="M147" s="519"/>
      <c r="N147" s="519"/>
      <c r="O147" s="519"/>
      <c r="P147" s="519"/>
      <c r="Q147" s="519"/>
      <c r="R147" s="519"/>
      <c r="S147" s="519"/>
      <c r="T147" s="519"/>
      <c r="U147" s="519"/>
      <c r="V147" s="519"/>
      <c r="W147" s="519"/>
      <c r="X147" s="519"/>
      <c r="Y147" s="519"/>
      <c r="Z147" s="519"/>
      <c r="AA147" s="519"/>
      <c r="AB147" s="519"/>
      <c r="AC147" s="519"/>
    </row>
    <row r="148" spans="1:29" ht="14.4" customHeight="1">
      <c r="A148" s="519"/>
      <c r="B148" s="521"/>
      <c r="C148" s="519"/>
      <c r="D148" s="519"/>
      <c r="E148" s="519"/>
      <c r="F148" s="519"/>
      <c r="G148" s="519"/>
      <c r="H148" s="519"/>
      <c r="I148" s="519"/>
      <c r="J148" s="519"/>
      <c r="K148" s="519"/>
      <c r="L148" s="519"/>
      <c r="M148" s="519"/>
      <c r="N148" s="519"/>
      <c r="O148" s="519"/>
      <c r="P148" s="519"/>
      <c r="Q148" s="519"/>
      <c r="R148" s="519"/>
      <c r="S148" s="519"/>
      <c r="T148" s="519"/>
      <c r="U148" s="519"/>
      <c r="V148" s="519"/>
      <c r="W148" s="519"/>
      <c r="X148" s="519"/>
      <c r="Y148" s="519"/>
      <c r="Z148" s="519"/>
      <c r="AA148" s="519"/>
      <c r="AB148" s="519"/>
      <c r="AC148" s="519"/>
    </row>
    <row r="149" spans="1:29" ht="14.4" customHeight="1">
      <c r="A149" s="519"/>
      <c r="B149" s="521"/>
      <c r="C149" s="519"/>
      <c r="D149" s="519"/>
      <c r="E149" s="519"/>
      <c r="F149" s="519"/>
      <c r="G149" s="519"/>
      <c r="H149" s="519"/>
      <c r="I149" s="519"/>
      <c r="J149" s="519"/>
      <c r="K149" s="519"/>
      <c r="L149" s="519"/>
      <c r="M149" s="519"/>
      <c r="N149" s="519"/>
      <c r="O149" s="519"/>
      <c r="P149" s="519"/>
      <c r="Q149" s="519"/>
      <c r="R149" s="519"/>
      <c r="S149" s="519"/>
      <c r="T149" s="519"/>
      <c r="U149" s="519"/>
      <c r="V149" s="519"/>
      <c r="W149" s="519"/>
      <c r="X149" s="519"/>
      <c r="Y149" s="519"/>
      <c r="Z149" s="519"/>
      <c r="AA149" s="519"/>
      <c r="AB149" s="519"/>
      <c r="AC149" s="519"/>
    </row>
    <row r="150" spans="1:29" ht="14.4" customHeight="1">
      <c r="A150" s="519"/>
      <c r="B150" s="521"/>
      <c r="C150" s="519"/>
      <c r="D150" s="519"/>
      <c r="E150" s="519"/>
      <c r="F150" s="519"/>
      <c r="G150" s="519"/>
      <c r="H150" s="519"/>
      <c r="I150" s="519"/>
      <c r="J150" s="519"/>
      <c r="K150" s="519"/>
      <c r="L150" s="519"/>
      <c r="M150" s="519"/>
      <c r="N150" s="519"/>
      <c r="O150" s="519"/>
      <c r="P150" s="519"/>
      <c r="Q150" s="519"/>
      <c r="R150" s="519"/>
      <c r="S150" s="519"/>
      <c r="T150" s="519"/>
      <c r="U150" s="519"/>
      <c r="V150" s="519"/>
      <c r="W150" s="519"/>
      <c r="X150" s="519"/>
      <c r="Y150" s="519"/>
      <c r="Z150" s="519"/>
      <c r="AA150" s="519"/>
      <c r="AB150" s="519"/>
      <c r="AC150" s="519"/>
    </row>
    <row r="151" spans="1:29" ht="14.4" customHeight="1">
      <c r="A151" s="519"/>
      <c r="B151" s="521"/>
      <c r="C151" s="519"/>
      <c r="D151" s="519"/>
      <c r="E151" s="519"/>
      <c r="F151" s="519"/>
      <c r="G151" s="519"/>
      <c r="H151" s="519"/>
      <c r="I151" s="519"/>
      <c r="J151" s="519"/>
      <c r="K151" s="519"/>
      <c r="L151" s="519"/>
      <c r="M151" s="519"/>
      <c r="N151" s="519"/>
      <c r="O151" s="519"/>
      <c r="P151" s="519"/>
      <c r="Q151" s="519"/>
      <c r="R151" s="519"/>
      <c r="S151" s="519"/>
      <c r="T151" s="519"/>
      <c r="U151" s="519"/>
      <c r="V151" s="519"/>
      <c r="W151" s="519"/>
      <c r="X151" s="519"/>
      <c r="Y151" s="519"/>
      <c r="Z151" s="519"/>
      <c r="AA151" s="519"/>
      <c r="AB151" s="519"/>
      <c r="AC151" s="519"/>
    </row>
    <row r="152" spans="1:29" ht="14.4" customHeight="1">
      <c r="A152" s="519"/>
      <c r="B152" s="521"/>
      <c r="C152" s="519"/>
      <c r="D152" s="519"/>
      <c r="E152" s="519"/>
      <c r="F152" s="519"/>
      <c r="G152" s="519"/>
      <c r="H152" s="519"/>
      <c r="I152" s="519"/>
      <c r="J152" s="519"/>
      <c r="K152" s="519"/>
      <c r="L152" s="519"/>
      <c r="M152" s="519"/>
      <c r="N152" s="519"/>
      <c r="O152" s="519"/>
      <c r="P152" s="519"/>
      <c r="Q152" s="519"/>
      <c r="R152" s="519"/>
      <c r="S152" s="519"/>
      <c r="T152" s="519"/>
      <c r="U152" s="519"/>
      <c r="V152" s="519"/>
      <c r="W152" s="519"/>
      <c r="X152" s="519"/>
      <c r="Y152" s="519"/>
      <c r="Z152" s="519"/>
      <c r="AA152" s="519"/>
      <c r="AB152" s="519"/>
      <c r="AC152" s="519"/>
    </row>
    <row r="153" spans="1:29" ht="14.4" customHeight="1">
      <c r="A153" s="519"/>
      <c r="B153" s="521"/>
      <c r="C153" s="519"/>
      <c r="D153" s="519"/>
      <c r="E153" s="519"/>
      <c r="F153" s="519"/>
      <c r="G153" s="519"/>
      <c r="H153" s="519"/>
      <c r="I153" s="519"/>
      <c r="J153" s="519"/>
      <c r="K153" s="519"/>
      <c r="L153" s="519"/>
      <c r="M153" s="519"/>
      <c r="N153" s="519"/>
      <c r="O153" s="519"/>
      <c r="P153" s="519"/>
      <c r="Q153" s="519"/>
      <c r="R153" s="519"/>
      <c r="S153" s="519"/>
      <c r="T153" s="519"/>
      <c r="U153" s="519"/>
      <c r="V153" s="519"/>
      <c r="W153" s="519"/>
      <c r="X153" s="519"/>
      <c r="Y153" s="519"/>
      <c r="Z153" s="519"/>
      <c r="AA153" s="519"/>
      <c r="AB153" s="519"/>
      <c r="AC153" s="519"/>
    </row>
    <row r="154" spans="1:29" ht="14.4" customHeight="1">
      <c r="A154" s="519"/>
      <c r="B154" s="521"/>
      <c r="C154" s="519"/>
      <c r="D154" s="519"/>
      <c r="E154" s="519"/>
      <c r="F154" s="519"/>
      <c r="G154" s="519"/>
      <c r="H154" s="519"/>
      <c r="I154" s="519"/>
      <c r="J154" s="519"/>
      <c r="K154" s="519"/>
      <c r="L154" s="519"/>
      <c r="M154" s="519"/>
      <c r="N154" s="519"/>
      <c r="O154" s="519"/>
      <c r="P154" s="519"/>
      <c r="Q154" s="519"/>
      <c r="R154" s="519"/>
      <c r="S154" s="519"/>
      <c r="T154" s="519"/>
      <c r="U154" s="519"/>
      <c r="V154" s="519"/>
      <c r="W154" s="519"/>
      <c r="X154" s="519"/>
      <c r="Y154" s="519"/>
      <c r="Z154" s="519"/>
      <c r="AA154" s="519"/>
      <c r="AB154" s="519"/>
      <c r="AC154" s="519"/>
    </row>
    <row r="155" spans="1:29" ht="14.4" customHeight="1">
      <c r="A155" s="519"/>
      <c r="B155" s="521"/>
      <c r="C155" s="519"/>
      <c r="D155" s="519"/>
      <c r="E155" s="519"/>
      <c r="F155" s="519"/>
      <c r="G155" s="519"/>
      <c r="H155" s="519"/>
      <c r="I155" s="519"/>
      <c r="J155" s="519"/>
      <c r="K155" s="519"/>
      <c r="L155" s="519"/>
      <c r="M155" s="519"/>
      <c r="N155" s="519"/>
      <c r="O155" s="519"/>
      <c r="P155" s="519"/>
      <c r="Q155" s="519"/>
      <c r="R155" s="519"/>
      <c r="S155" s="519"/>
      <c r="T155" s="519"/>
      <c r="U155" s="519"/>
      <c r="V155" s="519"/>
      <c r="W155" s="519"/>
      <c r="X155" s="519"/>
      <c r="Y155" s="519"/>
      <c r="Z155" s="519"/>
      <c r="AA155" s="519"/>
      <c r="AB155" s="519"/>
      <c r="AC155" s="519"/>
    </row>
    <row r="156" spans="1:29" ht="14.4" customHeight="1">
      <c r="A156" s="519"/>
      <c r="B156" s="521"/>
      <c r="C156" s="519"/>
      <c r="D156" s="519"/>
      <c r="E156" s="519"/>
      <c r="F156" s="519"/>
      <c r="G156" s="519"/>
      <c r="H156" s="519"/>
      <c r="I156" s="519"/>
      <c r="J156" s="519"/>
      <c r="K156" s="519"/>
      <c r="L156" s="519"/>
      <c r="M156" s="519"/>
      <c r="N156" s="519"/>
      <c r="O156" s="519"/>
      <c r="P156" s="519"/>
      <c r="Q156" s="519"/>
      <c r="R156" s="519"/>
      <c r="S156" s="519"/>
      <c r="T156" s="519"/>
      <c r="U156" s="519"/>
      <c r="V156" s="519"/>
      <c r="W156" s="519"/>
      <c r="X156" s="519"/>
      <c r="Y156" s="519"/>
      <c r="Z156" s="519"/>
      <c r="AA156" s="519"/>
      <c r="AB156" s="519"/>
      <c r="AC156" s="519"/>
    </row>
    <row r="157" spans="1:29" ht="14.4" customHeight="1">
      <c r="A157" s="519"/>
      <c r="B157" s="521"/>
      <c r="C157" s="519"/>
      <c r="D157" s="519"/>
      <c r="E157" s="519"/>
      <c r="F157" s="519"/>
      <c r="G157" s="519"/>
      <c r="H157" s="519"/>
      <c r="I157" s="519"/>
      <c r="J157" s="519"/>
      <c r="K157" s="519"/>
      <c r="L157" s="519"/>
      <c r="M157" s="519"/>
      <c r="N157" s="519"/>
      <c r="O157" s="519"/>
      <c r="P157" s="519"/>
      <c r="Q157" s="519"/>
      <c r="R157" s="519"/>
      <c r="S157" s="519"/>
      <c r="T157" s="519"/>
      <c r="U157" s="519"/>
      <c r="V157" s="519"/>
      <c r="W157" s="519"/>
      <c r="X157" s="519"/>
      <c r="Y157" s="519"/>
      <c r="Z157" s="519"/>
      <c r="AA157" s="519"/>
      <c r="AB157" s="519"/>
      <c r="AC157" s="519"/>
    </row>
    <row r="158" spans="1:29" ht="14.4" customHeight="1">
      <c r="A158" s="519"/>
      <c r="B158" s="521"/>
      <c r="C158" s="519"/>
      <c r="D158" s="519"/>
      <c r="E158" s="519"/>
      <c r="F158" s="519"/>
      <c r="G158" s="519"/>
      <c r="H158" s="519"/>
      <c r="I158" s="519"/>
      <c r="J158" s="519"/>
      <c r="K158" s="519"/>
      <c r="L158" s="519"/>
      <c r="M158" s="519"/>
      <c r="N158" s="519"/>
      <c r="O158" s="519"/>
      <c r="P158" s="519"/>
      <c r="Q158" s="519"/>
      <c r="R158" s="519"/>
      <c r="S158" s="519"/>
      <c r="T158" s="519"/>
      <c r="U158" s="519"/>
      <c r="V158" s="519"/>
      <c r="W158" s="519"/>
      <c r="X158" s="519"/>
      <c r="Y158" s="519"/>
      <c r="Z158" s="519"/>
      <c r="AA158" s="519"/>
      <c r="AB158" s="519"/>
      <c r="AC158" s="519"/>
    </row>
    <row r="159" spans="1:29" ht="14.4" customHeight="1">
      <c r="A159" s="519"/>
      <c r="B159" s="521"/>
      <c r="C159" s="519"/>
      <c r="D159" s="519"/>
      <c r="E159" s="519"/>
      <c r="F159" s="519"/>
      <c r="G159" s="519"/>
      <c r="H159" s="519"/>
      <c r="I159" s="519"/>
      <c r="J159" s="519"/>
      <c r="K159" s="519"/>
      <c r="L159" s="519"/>
      <c r="M159" s="519"/>
      <c r="N159" s="519"/>
      <c r="O159" s="519"/>
      <c r="P159" s="519"/>
      <c r="Q159" s="519"/>
      <c r="R159" s="519"/>
      <c r="S159" s="519"/>
      <c r="T159" s="519"/>
      <c r="U159" s="519"/>
      <c r="V159" s="519"/>
      <c r="W159" s="519"/>
      <c r="X159" s="519"/>
      <c r="Y159" s="519"/>
      <c r="Z159" s="519"/>
      <c r="AA159" s="519"/>
      <c r="AB159" s="519"/>
      <c r="AC159" s="519"/>
    </row>
    <row r="160" spans="1:29" ht="14.4" customHeight="1">
      <c r="A160" s="519"/>
      <c r="B160" s="521"/>
      <c r="C160" s="519"/>
      <c r="D160" s="519"/>
      <c r="E160" s="519"/>
      <c r="F160" s="519"/>
      <c r="G160" s="519"/>
      <c r="H160" s="519"/>
      <c r="I160" s="519"/>
      <c r="J160" s="519"/>
      <c r="K160" s="519"/>
      <c r="L160" s="519"/>
      <c r="M160" s="519"/>
      <c r="N160" s="519"/>
      <c r="O160" s="519"/>
      <c r="P160" s="519"/>
      <c r="Q160" s="519"/>
      <c r="R160" s="519"/>
      <c r="S160" s="519"/>
      <c r="T160" s="519"/>
      <c r="U160" s="519"/>
      <c r="V160" s="519"/>
      <c r="W160" s="519"/>
      <c r="X160" s="519"/>
      <c r="Y160" s="519"/>
      <c r="Z160" s="519"/>
      <c r="AA160" s="519"/>
      <c r="AB160" s="519"/>
      <c r="AC160" s="519"/>
    </row>
    <row r="161" spans="1:29" ht="14.4" customHeight="1">
      <c r="A161" s="519"/>
      <c r="B161" s="521"/>
      <c r="C161" s="519"/>
      <c r="D161" s="519"/>
      <c r="E161" s="519"/>
      <c r="F161" s="519"/>
      <c r="G161" s="519"/>
      <c r="H161" s="519"/>
      <c r="I161" s="519"/>
      <c r="J161" s="519"/>
      <c r="K161" s="519"/>
      <c r="L161" s="519"/>
      <c r="M161" s="519"/>
      <c r="N161" s="519"/>
      <c r="O161" s="519"/>
      <c r="P161" s="519"/>
      <c r="Q161" s="519"/>
      <c r="R161" s="519"/>
      <c r="S161" s="519"/>
      <c r="T161" s="519"/>
      <c r="U161" s="519"/>
      <c r="V161" s="519"/>
      <c r="W161" s="519"/>
      <c r="X161" s="519"/>
      <c r="Y161" s="519"/>
      <c r="Z161" s="519"/>
      <c r="AA161" s="519"/>
      <c r="AB161" s="519"/>
      <c r="AC161" s="519"/>
    </row>
    <row r="162" spans="1:29" ht="14.4" customHeight="1">
      <c r="A162" s="519"/>
      <c r="B162" s="521"/>
      <c r="C162" s="519"/>
      <c r="D162" s="519"/>
      <c r="E162" s="519"/>
      <c r="F162" s="519"/>
      <c r="G162" s="519"/>
      <c r="H162" s="519"/>
      <c r="I162" s="519"/>
      <c r="J162" s="519"/>
      <c r="K162" s="519"/>
      <c r="L162" s="519"/>
      <c r="M162" s="519"/>
      <c r="N162" s="519"/>
      <c r="O162" s="519"/>
      <c r="P162" s="519"/>
      <c r="Q162" s="519"/>
      <c r="R162" s="519"/>
      <c r="S162" s="519"/>
      <c r="T162" s="519"/>
      <c r="U162" s="519"/>
      <c r="V162" s="519"/>
      <c r="W162" s="519"/>
      <c r="X162" s="519"/>
      <c r="Y162" s="519"/>
      <c r="Z162" s="519"/>
      <c r="AA162" s="519"/>
      <c r="AB162" s="519"/>
      <c r="AC162" s="519"/>
    </row>
    <row r="163" spans="1:29" ht="14.4" customHeight="1">
      <c r="A163" s="519"/>
      <c r="B163" s="521"/>
      <c r="C163" s="519"/>
      <c r="D163" s="519"/>
      <c r="E163" s="519"/>
      <c r="F163" s="519"/>
      <c r="G163" s="519"/>
      <c r="H163" s="519"/>
      <c r="I163" s="519"/>
      <c r="J163" s="519"/>
      <c r="K163" s="519"/>
      <c r="L163" s="519"/>
      <c r="M163" s="519"/>
      <c r="N163" s="519"/>
      <c r="O163" s="519"/>
      <c r="P163" s="519"/>
      <c r="Q163" s="519"/>
      <c r="R163" s="519"/>
      <c r="S163" s="519"/>
      <c r="T163" s="519"/>
      <c r="U163" s="519"/>
      <c r="V163" s="519"/>
      <c r="W163" s="519"/>
      <c r="X163" s="519"/>
      <c r="Y163" s="519"/>
      <c r="Z163" s="519"/>
      <c r="AA163" s="519"/>
      <c r="AB163" s="519"/>
      <c r="AC163" s="519"/>
    </row>
    <row r="164" spans="1:29" ht="14.4" customHeight="1">
      <c r="A164" s="519"/>
      <c r="B164" s="521"/>
      <c r="C164" s="519"/>
      <c r="D164" s="519"/>
      <c r="E164" s="519"/>
      <c r="F164" s="519"/>
      <c r="G164" s="519"/>
      <c r="H164" s="519"/>
      <c r="I164" s="519"/>
      <c r="J164" s="519"/>
      <c r="K164" s="519"/>
      <c r="L164" s="519"/>
      <c r="M164" s="519"/>
      <c r="N164" s="519"/>
      <c r="O164" s="519"/>
      <c r="P164" s="519"/>
      <c r="Q164" s="519"/>
      <c r="R164" s="519"/>
      <c r="S164" s="519"/>
      <c r="T164" s="519"/>
      <c r="U164" s="519"/>
      <c r="V164" s="519"/>
      <c r="W164" s="519"/>
      <c r="X164" s="519"/>
      <c r="Y164" s="519"/>
      <c r="Z164" s="519"/>
      <c r="AA164" s="519"/>
      <c r="AB164" s="519"/>
      <c r="AC164" s="519"/>
    </row>
    <row r="165" spans="1:29" ht="14.4" customHeight="1">
      <c r="A165" s="519"/>
      <c r="B165" s="521"/>
      <c r="C165" s="519"/>
      <c r="D165" s="519"/>
      <c r="E165" s="519"/>
      <c r="F165" s="519"/>
      <c r="G165" s="519"/>
      <c r="H165" s="519"/>
      <c r="I165" s="519"/>
      <c r="J165" s="519"/>
      <c r="K165" s="519"/>
      <c r="L165" s="519"/>
      <c r="M165" s="519"/>
      <c r="N165" s="519"/>
      <c r="O165" s="519"/>
      <c r="P165" s="519"/>
      <c r="Q165" s="519"/>
      <c r="R165" s="519"/>
      <c r="S165" s="519"/>
      <c r="T165" s="519"/>
      <c r="U165" s="519"/>
      <c r="V165" s="519"/>
      <c r="W165" s="519"/>
      <c r="X165" s="519"/>
      <c r="Y165" s="519"/>
      <c r="Z165" s="519"/>
      <c r="AA165" s="519"/>
      <c r="AB165" s="519"/>
      <c r="AC165" s="519"/>
    </row>
    <row r="166" spans="1:29" ht="14.4" customHeight="1">
      <c r="A166" s="519"/>
      <c r="B166" s="521"/>
      <c r="C166" s="519"/>
      <c r="D166" s="519"/>
      <c r="E166" s="519"/>
      <c r="F166" s="519"/>
      <c r="G166" s="519"/>
      <c r="H166" s="519"/>
      <c r="I166" s="519"/>
      <c r="J166" s="519"/>
      <c r="K166" s="519"/>
      <c r="L166" s="519"/>
      <c r="M166" s="519"/>
      <c r="N166" s="519"/>
      <c r="O166" s="519"/>
      <c r="P166" s="519"/>
      <c r="Q166" s="519"/>
      <c r="R166" s="519"/>
      <c r="S166" s="519"/>
      <c r="T166" s="519"/>
      <c r="U166" s="519"/>
      <c r="V166" s="519"/>
      <c r="W166" s="519"/>
      <c r="X166" s="519"/>
      <c r="Y166" s="519"/>
      <c r="Z166" s="519"/>
      <c r="AA166" s="519"/>
      <c r="AB166" s="519"/>
      <c r="AC166" s="519"/>
    </row>
    <row r="167" spans="1:29" ht="14.4" customHeight="1">
      <c r="A167" s="519"/>
      <c r="B167" s="521"/>
      <c r="C167" s="519"/>
      <c r="D167" s="519"/>
      <c r="E167" s="519"/>
      <c r="F167" s="519"/>
      <c r="G167" s="519"/>
      <c r="H167" s="519"/>
      <c r="I167" s="519"/>
      <c r="J167" s="519"/>
      <c r="K167" s="519"/>
      <c r="L167" s="519"/>
      <c r="M167" s="519"/>
      <c r="N167" s="519"/>
      <c r="O167" s="519"/>
      <c r="P167" s="519"/>
      <c r="Q167" s="519"/>
      <c r="R167" s="519"/>
      <c r="S167" s="519"/>
      <c r="T167" s="519"/>
      <c r="U167" s="519"/>
      <c r="V167" s="519"/>
      <c r="W167" s="519"/>
      <c r="X167" s="519"/>
      <c r="Y167" s="519"/>
      <c r="Z167" s="519"/>
      <c r="AA167" s="519"/>
      <c r="AB167" s="519"/>
      <c r="AC167" s="519"/>
    </row>
    <row r="168" spans="1:29" ht="14.4" customHeight="1">
      <c r="A168" s="519"/>
      <c r="B168" s="521"/>
      <c r="C168" s="519"/>
      <c r="D168" s="519"/>
      <c r="E168" s="519"/>
      <c r="F168" s="519"/>
      <c r="G168" s="519"/>
      <c r="H168" s="519"/>
      <c r="I168" s="519"/>
      <c r="J168" s="519"/>
      <c r="K168" s="519"/>
      <c r="L168" s="519"/>
      <c r="M168" s="519"/>
      <c r="N168" s="519"/>
      <c r="O168" s="519"/>
      <c r="P168" s="519"/>
      <c r="Q168" s="519"/>
      <c r="R168" s="519"/>
      <c r="S168" s="519"/>
      <c r="T168" s="519"/>
      <c r="U168" s="519"/>
      <c r="V168" s="519"/>
      <c r="W168" s="519"/>
      <c r="X168" s="519"/>
      <c r="Y168" s="519"/>
      <c r="Z168" s="519"/>
      <c r="AA168" s="519"/>
      <c r="AB168" s="519"/>
      <c r="AC168" s="519"/>
    </row>
    <row r="169" spans="1:29" ht="14.4" customHeight="1">
      <c r="A169" s="519"/>
      <c r="B169" s="521"/>
      <c r="C169" s="519"/>
      <c r="D169" s="519"/>
      <c r="E169" s="519"/>
      <c r="F169" s="519"/>
      <c r="G169" s="519"/>
      <c r="H169" s="519"/>
      <c r="I169" s="519"/>
      <c r="J169" s="519"/>
      <c r="K169" s="519"/>
      <c r="L169" s="519"/>
      <c r="M169" s="519"/>
      <c r="N169" s="519"/>
      <c r="O169" s="519"/>
      <c r="P169" s="519"/>
      <c r="Q169" s="519"/>
      <c r="R169" s="519"/>
      <c r="S169" s="519"/>
      <c r="T169" s="519"/>
      <c r="U169" s="519"/>
      <c r="V169" s="519"/>
      <c r="W169" s="519"/>
      <c r="X169" s="519"/>
      <c r="Y169" s="519"/>
      <c r="Z169" s="519"/>
      <c r="AA169" s="519"/>
      <c r="AB169" s="519"/>
      <c r="AC169" s="519"/>
    </row>
    <row r="170" spans="1:29" ht="14.4" customHeight="1">
      <c r="A170" s="519"/>
      <c r="B170" s="521"/>
      <c r="C170" s="519"/>
      <c r="D170" s="519"/>
      <c r="E170" s="519"/>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row>
    <row r="171" spans="1:29" ht="14.4" customHeight="1">
      <c r="A171" s="519"/>
      <c r="B171" s="521"/>
      <c r="C171" s="519"/>
      <c r="D171" s="519"/>
      <c r="E171" s="519"/>
      <c r="F171" s="519"/>
      <c r="G171" s="519"/>
      <c r="H171" s="519"/>
      <c r="I171" s="519"/>
      <c r="J171" s="519"/>
      <c r="K171" s="519"/>
      <c r="L171" s="519"/>
      <c r="M171" s="519"/>
      <c r="N171" s="519"/>
      <c r="O171" s="519"/>
      <c r="P171" s="519"/>
      <c r="Q171" s="519"/>
      <c r="R171" s="519"/>
      <c r="S171" s="519"/>
      <c r="T171" s="519"/>
      <c r="U171" s="519"/>
      <c r="V171" s="519"/>
      <c r="W171" s="519"/>
      <c r="X171" s="519"/>
      <c r="Y171" s="519"/>
      <c r="Z171" s="519"/>
      <c r="AA171" s="519"/>
      <c r="AB171" s="519"/>
      <c r="AC171" s="519"/>
    </row>
    <row r="172" spans="1:29" ht="14.4" customHeight="1">
      <c r="A172" s="519"/>
      <c r="B172" s="521"/>
      <c r="C172" s="519"/>
      <c r="D172" s="519"/>
      <c r="E172" s="519"/>
      <c r="F172" s="519"/>
      <c r="G172" s="519"/>
      <c r="H172" s="519"/>
      <c r="I172" s="519"/>
      <c r="J172" s="519"/>
      <c r="K172" s="519"/>
      <c r="L172" s="519"/>
      <c r="M172" s="519"/>
      <c r="N172" s="519"/>
      <c r="O172" s="519"/>
      <c r="P172" s="519"/>
      <c r="Q172" s="519"/>
      <c r="R172" s="519"/>
      <c r="S172" s="519"/>
      <c r="T172" s="519"/>
      <c r="U172" s="519"/>
      <c r="V172" s="519"/>
      <c r="W172" s="519"/>
      <c r="X172" s="519"/>
      <c r="Y172" s="519"/>
      <c r="Z172" s="519"/>
      <c r="AA172" s="519"/>
      <c r="AB172" s="519"/>
      <c r="AC172" s="519"/>
    </row>
    <row r="173" spans="1:29" ht="14.4" customHeight="1">
      <c r="A173" s="519"/>
      <c r="B173" s="521"/>
      <c r="C173" s="519"/>
      <c r="D173" s="519"/>
      <c r="E173" s="519"/>
      <c r="F173" s="519"/>
      <c r="G173" s="519"/>
      <c r="H173" s="519"/>
      <c r="I173" s="519"/>
      <c r="J173" s="519"/>
      <c r="K173" s="519"/>
      <c r="L173" s="519"/>
      <c r="M173" s="519"/>
      <c r="N173" s="519"/>
      <c r="O173" s="519"/>
      <c r="P173" s="519"/>
      <c r="Q173" s="519"/>
      <c r="R173" s="519"/>
      <c r="S173" s="519"/>
      <c r="T173" s="519"/>
      <c r="U173" s="519"/>
      <c r="V173" s="519"/>
      <c r="W173" s="519"/>
      <c r="X173" s="519"/>
      <c r="Y173" s="519"/>
      <c r="Z173" s="519"/>
      <c r="AA173" s="519"/>
      <c r="AB173" s="519"/>
      <c r="AC173" s="519"/>
    </row>
    <row r="174" spans="1:29" ht="14.4" customHeight="1">
      <c r="A174" s="519"/>
      <c r="B174" s="521"/>
      <c r="C174" s="519"/>
      <c r="D174" s="519"/>
      <c r="E174" s="519"/>
      <c r="F174" s="519"/>
      <c r="G174" s="519"/>
      <c r="H174" s="519"/>
      <c r="I174" s="519"/>
      <c r="J174" s="519"/>
      <c r="K174" s="519"/>
      <c r="L174" s="519"/>
      <c r="M174" s="519"/>
      <c r="N174" s="519"/>
      <c r="O174" s="519"/>
      <c r="P174" s="519"/>
      <c r="Q174" s="519"/>
      <c r="R174" s="519"/>
      <c r="S174" s="519"/>
      <c r="T174" s="519"/>
      <c r="U174" s="519"/>
      <c r="V174" s="519"/>
      <c r="W174" s="519"/>
      <c r="X174" s="519"/>
      <c r="Y174" s="519"/>
      <c r="Z174" s="519"/>
      <c r="AA174" s="519"/>
      <c r="AB174" s="519"/>
      <c r="AC174" s="519"/>
    </row>
    <row r="175" spans="1:29" ht="14.4" customHeight="1">
      <c r="A175" s="519"/>
      <c r="B175" s="521"/>
      <c r="C175" s="519"/>
      <c r="D175" s="519"/>
      <c r="E175" s="519"/>
      <c r="F175" s="519"/>
      <c r="G175" s="519"/>
      <c r="H175" s="519"/>
      <c r="I175" s="519"/>
      <c r="J175" s="519"/>
      <c r="K175" s="519"/>
      <c r="L175" s="519"/>
      <c r="M175" s="519"/>
      <c r="N175" s="519"/>
      <c r="O175" s="519"/>
      <c r="P175" s="519"/>
      <c r="Q175" s="519"/>
      <c r="R175" s="519"/>
      <c r="S175" s="519"/>
      <c r="T175" s="519"/>
      <c r="U175" s="519"/>
      <c r="V175" s="519"/>
      <c r="W175" s="519"/>
      <c r="X175" s="519"/>
      <c r="Y175" s="519"/>
      <c r="Z175" s="519"/>
      <c r="AA175" s="519"/>
      <c r="AB175" s="519"/>
      <c r="AC175" s="519"/>
    </row>
    <row r="176" spans="1:29" ht="14.4" customHeight="1">
      <c r="A176" s="519"/>
      <c r="B176" s="521"/>
      <c r="C176" s="519"/>
      <c r="D176" s="519"/>
      <c r="E176" s="519"/>
      <c r="F176" s="519"/>
      <c r="G176" s="519"/>
      <c r="H176" s="519"/>
      <c r="I176" s="519"/>
      <c r="J176" s="519"/>
      <c r="K176" s="519"/>
      <c r="L176" s="519"/>
      <c r="M176" s="519"/>
      <c r="N176" s="519"/>
      <c r="O176" s="519"/>
      <c r="P176" s="519"/>
      <c r="Q176" s="519"/>
      <c r="R176" s="519"/>
      <c r="S176" s="519"/>
      <c r="T176" s="519"/>
      <c r="U176" s="519"/>
      <c r="V176" s="519"/>
      <c r="W176" s="519"/>
      <c r="X176" s="519"/>
      <c r="Y176" s="519"/>
      <c r="Z176" s="519"/>
      <c r="AA176" s="519"/>
      <c r="AB176" s="519"/>
      <c r="AC176" s="519"/>
    </row>
    <row r="177" spans="1:29" ht="14.4" customHeight="1">
      <c r="A177" s="519"/>
      <c r="B177" s="521"/>
      <c r="C177" s="519"/>
      <c r="D177" s="519"/>
      <c r="E177" s="519"/>
      <c r="F177" s="519"/>
      <c r="G177" s="519"/>
      <c r="H177" s="519"/>
      <c r="I177" s="519"/>
      <c r="J177" s="519"/>
      <c r="K177" s="519"/>
      <c r="L177" s="519"/>
      <c r="M177" s="519"/>
      <c r="N177" s="519"/>
      <c r="O177" s="519"/>
      <c r="P177" s="519"/>
      <c r="Q177" s="519"/>
      <c r="R177" s="519"/>
      <c r="S177" s="519"/>
      <c r="T177" s="519"/>
      <c r="U177" s="519"/>
      <c r="V177" s="519"/>
      <c r="W177" s="519"/>
      <c r="X177" s="519"/>
      <c r="Y177" s="519"/>
      <c r="Z177" s="519"/>
      <c r="AA177" s="519"/>
      <c r="AB177" s="519"/>
      <c r="AC177" s="519"/>
    </row>
    <row r="178" spans="1:29" ht="14.4" customHeight="1">
      <c r="A178" s="519"/>
      <c r="B178" s="521"/>
      <c r="C178" s="519"/>
      <c r="D178" s="519"/>
      <c r="E178" s="519"/>
      <c r="F178" s="519"/>
      <c r="G178" s="519"/>
      <c r="H178" s="519"/>
      <c r="I178" s="519"/>
      <c r="J178" s="519"/>
      <c r="K178" s="519"/>
      <c r="L178" s="519"/>
      <c r="M178" s="519"/>
      <c r="N178" s="519"/>
      <c r="O178" s="519"/>
      <c r="P178" s="519"/>
      <c r="Q178" s="519"/>
      <c r="R178" s="519"/>
      <c r="S178" s="519"/>
      <c r="T178" s="519"/>
      <c r="U178" s="519"/>
      <c r="V178" s="519"/>
      <c r="W178" s="519"/>
      <c r="X178" s="519"/>
      <c r="Y178" s="519"/>
      <c r="Z178" s="519"/>
      <c r="AA178" s="519"/>
      <c r="AB178" s="519"/>
      <c r="AC178" s="519"/>
    </row>
    <row r="179" spans="1:29" ht="14.4" customHeight="1">
      <c r="A179" s="519"/>
      <c r="B179" s="521"/>
      <c r="C179" s="519"/>
      <c r="D179" s="519"/>
      <c r="E179" s="519"/>
      <c r="F179" s="519"/>
      <c r="G179" s="519"/>
      <c r="H179" s="519"/>
      <c r="I179" s="519"/>
      <c r="J179" s="519"/>
      <c r="K179" s="519"/>
      <c r="L179" s="519"/>
      <c r="M179" s="519"/>
      <c r="N179" s="519"/>
      <c r="O179" s="519"/>
      <c r="P179" s="519"/>
      <c r="Q179" s="519"/>
      <c r="R179" s="519"/>
      <c r="S179" s="519"/>
      <c r="T179" s="519"/>
      <c r="U179" s="519"/>
      <c r="V179" s="519"/>
      <c r="W179" s="519"/>
      <c r="X179" s="519"/>
      <c r="Y179" s="519"/>
      <c r="Z179" s="519"/>
      <c r="AA179" s="519"/>
      <c r="AB179" s="519"/>
      <c r="AC179" s="519"/>
    </row>
    <row r="180" spans="1:29" ht="14.4" customHeight="1">
      <c r="A180" s="519"/>
      <c r="B180" s="521"/>
      <c r="C180" s="519"/>
      <c r="D180" s="519"/>
      <c r="E180" s="519"/>
      <c r="F180" s="519"/>
      <c r="G180" s="519"/>
      <c r="H180" s="519"/>
      <c r="I180" s="519"/>
      <c r="J180" s="519"/>
      <c r="K180" s="519"/>
      <c r="L180" s="519"/>
      <c r="M180" s="519"/>
      <c r="N180" s="519"/>
      <c r="O180" s="519"/>
      <c r="P180" s="519"/>
      <c r="Q180" s="519"/>
      <c r="R180" s="519"/>
      <c r="S180" s="519"/>
      <c r="T180" s="519"/>
      <c r="U180" s="519"/>
      <c r="V180" s="519"/>
      <c r="W180" s="519"/>
      <c r="X180" s="519"/>
      <c r="Y180" s="519"/>
      <c r="Z180" s="519"/>
      <c r="AA180" s="519"/>
      <c r="AB180" s="519"/>
      <c r="AC180" s="519"/>
    </row>
    <row r="181" spans="1:29" ht="14.4" customHeight="1">
      <c r="A181" s="519"/>
      <c r="B181" s="521"/>
      <c r="C181" s="519"/>
      <c r="D181" s="519"/>
      <c r="E181" s="519"/>
      <c r="F181" s="519"/>
      <c r="G181" s="519"/>
      <c r="H181" s="519"/>
      <c r="I181" s="519"/>
      <c r="J181" s="519"/>
      <c r="K181" s="519"/>
      <c r="L181" s="519"/>
      <c r="M181" s="519"/>
      <c r="N181" s="519"/>
      <c r="O181" s="519"/>
      <c r="P181" s="519"/>
      <c r="Q181" s="519"/>
      <c r="R181" s="519"/>
      <c r="S181" s="519"/>
      <c r="T181" s="519"/>
      <c r="U181" s="519"/>
      <c r="V181" s="519"/>
      <c r="W181" s="519"/>
      <c r="X181" s="519"/>
      <c r="Y181" s="519"/>
      <c r="Z181" s="519"/>
      <c r="AA181" s="519"/>
      <c r="AB181" s="519"/>
      <c r="AC181" s="519"/>
    </row>
    <row r="182" spans="1:29" ht="14.4" customHeight="1">
      <c r="A182" s="519"/>
      <c r="B182" s="521"/>
      <c r="C182" s="519"/>
      <c r="D182" s="519"/>
      <c r="E182" s="519"/>
      <c r="F182" s="519"/>
      <c r="G182" s="519"/>
      <c r="H182" s="519"/>
      <c r="I182" s="519"/>
      <c r="J182" s="519"/>
      <c r="K182" s="519"/>
      <c r="L182" s="519"/>
      <c r="M182" s="519"/>
      <c r="N182" s="519"/>
      <c r="O182" s="519"/>
      <c r="P182" s="519"/>
      <c r="Q182" s="519"/>
      <c r="R182" s="519"/>
      <c r="S182" s="519"/>
      <c r="T182" s="519"/>
      <c r="U182" s="519"/>
      <c r="V182" s="519"/>
      <c r="W182" s="519"/>
      <c r="X182" s="519"/>
      <c r="Y182" s="519"/>
      <c r="Z182" s="519"/>
      <c r="AA182" s="519"/>
      <c r="AB182" s="519"/>
      <c r="AC182" s="519"/>
    </row>
    <row r="183" spans="1:29" ht="14.4" customHeight="1">
      <c r="A183" s="519"/>
      <c r="B183" s="521"/>
      <c r="C183" s="519"/>
      <c r="D183" s="519"/>
      <c r="E183" s="519"/>
      <c r="F183" s="519"/>
      <c r="G183" s="519"/>
      <c r="H183" s="519"/>
      <c r="I183" s="519"/>
      <c r="J183" s="519"/>
      <c r="K183" s="519"/>
      <c r="L183" s="519"/>
      <c r="M183" s="519"/>
      <c r="N183" s="519"/>
      <c r="O183" s="519"/>
      <c r="P183" s="519"/>
      <c r="Q183" s="519"/>
      <c r="R183" s="519"/>
      <c r="S183" s="519"/>
      <c r="T183" s="519"/>
      <c r="U183" s="519"/>
      <c r="V183" s="519"/>
      <c r="W183" s="519"/>
      <c r="X183" s="519"/>
      <c r="Y183" s="519"/>
      <c r="Z183" s="519"/>
      <c r="AA183" s="519"/>
      <c r="AB183" s="519"/>
      <c r="AC183" s="519"/>
    </row>
    <row r="184" spans="1:29" ht="14.4" customHeight="1">
      <c r="A184" s="519"/>
      <c r="B184" s="521"/>
      <c r="C184" s="519"/>
      <c r="D184" s="519"/>
      <c r="E184" s="519"/>
      <c r="F184" s="519"/>
      <c r="G184" s="519"/>
      <c r="H184" s="519"/>
      <c r="I184" s="519"/>
      <c r="J184" s="519"/>
      <c r="K184" s="519"/>
      <c r="L184" s="519"/>
      <c r="M184" s="519"/>
      <c r="N184" s="519"/>
      <c r="O184" s="519"/>
      <c r="P184" s="519"/>
      <c r="Q184" s="519"/>
      <c r="R184" s="519"/>
      <c r="S184" s="519"/>
      <c r="T184" s="519"/>
      <c r="U184" s="519"/>
      <c r="V184" s="519"/>
      <c r="W184" s="519"/>
      <c r="X184" s="519"/>
      <c r="Y184" s="519"/>
      <c r="Z184" s="519"/>
      <c r="AA184" s="519"/>
      <c r="AB184" s="519"/>
      <c r="AC184" s="519"/>
    </row>
    <row r="185" spans="1:29" ht="14.4" customHeight="1">
      <c r="A185" s="519"/>
      <c r="B185" s="521"/>
      <c r="C185" s="519"/>
      <c r="D185" s="519"/>
      <c r="E185" s="519"/>
      <c r="F185" s="519"/>
      <c r="G185" s="519"/>
      <c r="H185" s="519"/>
      <c r="I185" s="519"/>
      <c r="J185" s="519"/>
      <c r="K185" s="519"/>
      <c r="L185" s="519"/>
      <c r="M185" s="519"/>
      <c r="N185" s="519"/>
      <c r="O185" s="519"/>
      <c r="P185" s="519"/>
      <c r="Q185" s="519"/>
      <c r="R185" s="519"/>
      <c r="S185" s="519"/>
      <c r="T185" s="519"/>
      <c r="U185" s="519"/>
      <c r="V185" s="519"/>
      <c r="W185" s="519"/>
      <c r="X185" s="519"/>
      <c r="Y185" s="519"/>
      <c r="Z185" s="519"/>
      <c r="AA185" s="519"/>
      <c r="AB185" s="519"/>
      <c r="AC185" s="519"/>
    </row>
    <row r="186" spans="1:29" ht="14.4" customHeight="1">
      <c r="A186" s="519"/>
      <c r="B186" s="521"/>
      <c r="C186" s="519"/>
      <c r="D186" s="519"/>
      <c r="E186" s="519"/>
      <c r="F186" s="519"/>
      <c r="G186" s="519"/>
      <c r="H186" s="519"/>
      <c r="I186" s="519"/>
      <c r="J186" s="519"/>
      <c r="K186" s="519"/>
      <c r="L186" s="519"/>
      <c r="M186" s="519"/>
      <c r="N186" s="519"/>
      <c r="O186" s="519"/>
      <c r="P186" s="519"/>
      <c r="Q186" s="519"/>
      <c r="R186" s="519"/>
      <c r="S186" s="519"/>
      <c r="T186" s="519"/>
      <c r="U186" s="519"/>
      <c r="V186" s="519"/>
      <c r="W186" s="519"/>
      <c r="X186" s="519"/>
      <c r="Y186" s="519"/>
      <c r="Z186" s="519"/>
      <c r="AA186" s="519"/>
      <c r="AB186" s="519"/>
      <c r="AC186" s="519"/>
    </row>
    <row r="187" spans="1:29" ht="14.4" customHeight="1">
      <c r="A187" s="519"/>
      <c r="B187" s="521"/>
      <c r="C187" s="519"/>
      <c r="D187" s="519"/>
      <c r="E187" s="519"/>
      <c r="F187" s="519"/>
      <c r="G187" s="519"/>
      <c r="H187" s="519"/>
      <c r="I187" s="519"/>
      <c r="J187" s="519"/>
      <c r="K187" s="519"/>
      <c r="L187" s="519"/>
      <c r="M187" s="519"/>
      <c r="N187" s="519"/>
      <c r="O187" s="519"/>
      <c r="P187" s="519"/>
      <c r="Q187" s="519"/>
      <c r="R187" s="519"/>
      <c r="S187" s="519"/>
      <c r="T187" s="519"/>
      <c r="U187" s="519"/>
      <c r="V187" s="519"/>
      <c r="W187" s="519"/>
      <c r="X187" s="519"/>
      <c r="Y187" s="519"/>
      <c r="Z187" s="519"/>
      <c r="AA187" s="519"/>
      <c r="AB187" s="519"/>
      <c r="AC187" s="519"/>
    </row>
    <row r="188" spans="1:29" ht="14.4" customHeight="1">
      <c r="A188" s="519"/>
      <c r="B188" s="521"/>
      <c r="C188" s="519"/>
      <c r="D188" s="519"/>
      <c r="E188" s="519"/>
      <c r="F188" s="519"/>
      <c r="G188" s="519"/>
      <c r="H188" s="519"/>
      <c r="I188" s="519"/>
      <c r="J188" s="519"/>
      <c r="K188" s="519"/>
      <c r="L188" s="519"/>
      <c r="M188" s="519"/>
      <c r="N188" s="519"/>
      <c r="O188" s="519"/>
      <c r="P188" s="519"/>
      <c r="Q188" s="519"/>
      <c r="R188" s="519"/>
      <c r="S188" s="519"/>
      <c r="T188" s="519"/>
      <c r="U188" s="519"/>
      <c r="V188" s="519"/>
      <c r="W188" s="519"/>
      <c r="X188" s="519"/>
      <c r="Y188" s="519"/>
      <c r="Z188" s="519"/>
      <c r="AA188" s="519"/>
      <c r="AB188" s="519"/>
      <c r="AC188" s="519"/>
    </row>
    <row r="189" spans="1:29" ht="14.4" customHeight="1">
      <c r="A189" s="519"/>
      <c r="B189" s="521"/>
      <c r="C189" s="519"/>
      <c r="D189" s="519"/>
      <c r="E189" s="519"/>
      <c r="F189" s="519"/>
      <c r="G189" s="519"/>
      <c r="H189" s="519"/>
      <c r="I189" s="519"/>
      <c r="J189" s="519"/>
      <c r="K189" s="519"/>
      <c r="L189" s="519"/>
      <c r="M189" s="519"/>
      <c r="N189" s="519"/>
      <c r="O189" s="519"/>
      <c r="P189" s="519"/>
      <c r="Q189" s="519"/>
      <c r="R189" s="519"/>
      <c r="S189" s="519"/>
      <c r="T189" s="519"/>
      <c r="U189" s="519"/>
      <c r="V189" s="519"/>
      <c r="W189" s="519"/>
      <c r="X189" s="519"/>
      <c r="Y189" s="519"/>
      <c r="Z189" s="519"/>
      <c r="AA189" s="519"/>
      <c r="AB189" s="519"/>
      <c r="AC189" s="519"/>
    </row>
    <row r="190" spans="1:29" ht="14.4" customHeight="1">
      <c r="A190" s="519"/>
      <c r="B190" s="521"/>
      <c r="C190" s="519"/>
      <c r="D190" s="519"/>
      <c r="E190" s="519"/>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row>
    <row r="191" spans="1:29" ht="14.4" customHeight="1">
      <c r="A191" s="519"/>
      <c r="B191" s="521"/>
      <c r="C191" s="519"/>
      <c r="D191" s="519"/>
      <c r="E191" s="519"/>
      <c r="F191" s="519"/>
      <c r="G191" s="519"/>
      <c r="H191" s="519"/>
      <c r="I191" s="519"/>
      <c r="J191" s="519"/>
      <c r="K191" s="519"/>
      <c r="L191" s="519"/>
      <c r="M191" s="519"/>
      <c r="N191" s="519"/>
      <c r="O191" s="519"/>
      <c r="P191" s="519"/>
      <c r="Q191" s="519"/>
      <c r="R191" s="519"/>
      <c r="S191" s="519"/>
      <c r="T191" s="519"/>
      <c r="U191" s="519"/>
      <c r="V191" s="519"/>
      <c r="W191" s="519"/>
      <c r="X191" s="519"/>
      <c r="Y191" s="519"/>
      <c r="Z191" s="519"/>
      <c r="AA191" s="519"/>
      <c r="AB191" s="519"/>
      <c r="AC191" s="519"/>
    </row>
    <row r="192" spans="1:29" ht="14.4" customHeight="1">
      <c r="A192" s="519"/>
      <c r="B192" s="521"/>
      <c r="C192" s="519"/>
      <c r="D192" s="519"/>
      <c r="E192" s="519"/>
      <c r="F192" s="519"/>
      <c r="G192" s="519"/>
      <c r="H192" s="519"/>
      <c r="I192" s="519"/>
      <c r="J192" s="519"/>
      <c r="K192" s="519"/>
      <c r="L192" s="519"/>
      <c r="M192" s="519"/>
      <c r="N192" s="519"/>
      <c r="O192" s="519"/>
      <c r="P192" s="519"/>
      <c r="Q192" s="519"/>
      <c r="R192" s="519"/>
      <c r="S192" s="519"/>
      <c r="T192" s="519"/>
      <c r="U192" s="519"/>
      <c r="V192" s="519"/>
      <c r="W192" s="519"/>
      <c r="X192" s="519"/>
      <c r="Y192" s="519"/>
      <c r="Z192" s="519"/>
      <c r="AA192" s="519"/>
      <c r="AB192" s="519"/>
      <c r="AC192" s="519"/>
    </row>
    <row r="193" spans="1:29" ht="14.4" customHeight="1">
      <c r="A193" s="519"/>
      <c r="B193" s="521"/>
      <c r="C193" s="519"/>
      <c r="D193" s="519"/>
      <c r="E193" s="519"/>
      <c r="F193" s="519"/>
      <c r="G193" s="519"/>
      <c r="H193" s="519"/>
      <c r="I193" s="519"/>
      <c r="J193" s="519"/>
      <c r="K193" s="519"/>
      <c r="L193" s="519"/>
      <c r="M193" s="519"/>
      <c r="N193" s="519"/>
      <c r="O193" s="519"/>
      <c r="P193" s="519"/>
      <c r="Q193" s="519"/>
      <c r="R193" s="519"/>
      <c r="S193" s="519"/>
      <c r="T193" s="519"/>
      <c r="U193" s="519"/>
      <c r="V193" s="519"/>
      <c r="W193" s="519"/>
      <c r="X193" s="519"/>
      <c r="Y193" s="519"/>
      <c r="Z193" s="519"/>
      <c r="AA193" s="519"/>
      <c r="AB193" s="519"/>
      <c r="AC193" s="519"/>
    </row>
    <row r="194" spans="1:29" ht="14.4" customHeight="1">
      <c r="A194" s="519"/>
      <c r="B194" s="521"/>
      <c r="C194" s="519"/>
      <c r="D194" s="519"/>
      <c r="E194" s="519"/>
      <c r="F194" s="519"/>
      <c r="G194" s="519"/>
      <c r="H194" s="519"/>
      <c r="I194" s="519"/>
      <c r="J194" s="519"/>
      <c r="K194" s="519"/>
      <c r="L194" s="519"/>
      <c r="M194" s="519"/>
      <c r="N194" s="519"/>
      <c r="O194" s="519"/>
      <c r="P194" s="519"/>
      <c r="Q194" s="519"/>
      <c r="R194" s="519"/>
      <c r="S194" s="519"/>
      <c r="T194" s="519"/>
      <c r="U194" s="519"/>
      <c r="V194" s="519"/>
      <c r="W194" s="519"/>
      <c r="X194" s="519"/>
      <c r="Y194" s="519"/>
      <c r="Z194" s="519"/>
      <c r="AA194" s="519"/>
      <c r="AB194" s="519"/>
      <c r="AC194" s="519"/>
    </row>
    <row r="195" spans="1:29" ht="14.4" customHeight="1">
      <c r="A195" s="519"/>
      <c r="B195" s="521"/>
      <c r="C195" s="519"/>
      <c r="D195" s="519"/>
      <c r="E195" s="519"/>
      <c r="F195" s="519"/>
      <c r="G195" s="519"/>
      <c r="H195" s="519"/>
      <c r="I195" s="519"/>
      <c r="J195" s="519"/>
      <c r="K195" s="519"/>
      <c r="L195" s="519"/>
      <c r="M195" s="519"/>
      <c r="N195" s="519"/>
      <c r="O195" s="519"/>
      <c r="P195" s="519"/>
      <c r="Q195" s="519"/>
      <c r="R195" s="519"/>
      <c r="S195" s="519"/>
      <c r="T195" s="519"/>
      <c r="U195" s="519"/>
      <c r="V195" s="519"/>
      <c r="W195" s="519"/>
      <c r="X195" s="519"/>
      <c r="Y195" s="519"/>
      <c r="Z195" s="519"/>
      <c r="AA195" s="519"/>
      <c r="AB195" s="519"/>
      <c r="AC195" s="519"/>
    </row>
    <row r="196" spans="1:29" ht="14.4" customHeight="1">
      <c r="A196" s="519"/>
      <c r="B196" s="521"/>
      <c r="C196" s="519"/>
      <c r="D196" s="519"/>
      <c r="E196" s="519"/>
      <c r="F196" s="519"/>
      <c r="G196" s="519"/>
      <c r="H196" s="519"/>
      <c r="I196" s="519"/>
      <c r="J196" s="519"/>
      <c r="K196" s="519"/>
      <c r="L196" s="519"/>
      <c r="M196" s="519"/>
      <c r="N196" s="519"/>
      <c r="O196" s="519"/>
      <c r="P196" s="519"/>
      <c r="Q196" s="519"/>
      <c r="R196" s="519"/>
      <c r="S196" s="519"/>
      <c r="T196" s="519"/>
      <c r="U196" s="519"/>
      <c r="V196" s="519"/>
      <c r="W196" s="519"/>
      <c r="X196" s="519"/>
      <c r="Y196" s="519"/>
      <c r="Z196" s="519"/>
      <c r="AA196" s="519"/>
      <c r="AB196" s="519"/>
      <c r="AC196" s="519"/>
    </row>
    <row r="197" spans="1:29" ht="14.4" customHeight="1">
      <c r="A197" s="519"/>
      <c r="B197" s="521"/>
      <c r="C197" s="519"/>
      <c r="D197" s="519"/>
      <c r="E197" s="519"/>
      <c r="F197" s="519"/>
      <c r="G197" s="519"/>
      <c r="H197" s="519"/>
      <c r="I197" s="519"/>
      <c r="J197" s="519"/>
      <c r="K197" s="519"/>
      <c r="L197" s="519"/>
      <c r="M197" s="519"/>
      <c r="N197" s="519"/>
      <c r="O197" s="519"/>
      <c r="P197" s="519"/>
      <c r="Q197" s="519"/>
      <c r="R197" s="519"/>
      <c r="S197" s="519"/>
      <c r="T197" s="519"/>
      <c r="U197" s="519"/>
      <c r="V197" s="519"/>
      <c r="W197" s="519"/>
      <c r="X197" s="519"/>
      <c r="Y197" s="519"/>
      <c r="Z197" s="519"/>
      <c r="AA197" s="519"/>
      <c r="AB197" s="519"/>
      <c r="AC197" s="519"/>
    </row>
    <row r="198" spans="1:29" ht="14.4" customHeight="1">
      <c r="A198" s="519"/>
      <c r="B198" s="521"/>
      <c r="C198" s="519"/>
      <c r="D198" s="519"/>
      <c r="E198" s="519"/>
      <c r="F198" s="519"/>
      <c r="G198" s="519"/>
      <c r="H198" s="519"/>
      <c r="I198" s="519"/>
      <c r="J198" s="519"/>
      <c r="K198" s="519"/>
      <c r="L198" s="519"/>
      <c r="M198" s="519"/>
      <c r="N198" s="519"/>
      <c r="O198" s="519"/>
      <c r="P198" s="519"/>
      <c r="Q198" s="519"/>
      <c r="R198" s="519"/>
      <c r="S198" s="519"/>
      <c r="T198" s="519"/>
      <c r="U198" s="519"/>
      <c r="V198" s="519"/>
      <c r="W198" s="519"/>
      <c r="X198" s="519"/>
      <c r="Y198" s="519"/>
      <c r="Z198" s="519"/>
      <c r="AA198" s="519"/>
      <c r="AB198" s="519"/>
      <c r="AC198" s="519"/>
    </row>
    <row r="199" spans="1:29" ht="14.4" customHeight="1">
      <c r="A199" s="519"/>
      <c r="B199" s="521"/>
      <c r="C199" s="519"/>
      <c r="D199" s="519"/>
      <c r="E199" s="519"/>
      <c r="F199" s="519"/>
      <c r="G199" s="519"/>
      <c r="H199" s="519"/>
      <c r="I199" s="519"/>
      <c r="J199" s="519"/>
      <c r="K199" s="519"/>
      <c r="L199" s="519"/>
      <c r="M199" s="519"/>
      <c r="N199" s="519"/>
      <c r="O199" s="519"/>
      <c r="P199" s="519"/>
      <c r="Q199" s="519"/>
      <c r="R199" s="519"/>
      <c r="S199" s="519"/>
      <c r="T199" s="519"/>
      <c r="U199" s="519"/>
      <c r="V199" s="519"/>
      <c r="W199" s="519"/>
      <c r="X199" s="519"/>
      <c r="Y199" s="519"/>
      <c r="Z199" s="519"/>
      <c r="AA199" s="519"/>
      <c r="AB199" s="519"/>
      <c r="AC199" s="519"/>
    </row>
    <row r="200" spans="1:29" ht="14.4" customHeight="1">
      <c r="A200" s="519"/>
      <c r="B200" s="521"/>
      <c r="C200" s="519"/>
      <c r="D200" s="519"/>
      <c r="E200" s="519"/>
      <c r="F200" s="519"/>
      <c r="G200" s="519"/>
      <c r="H200" s="519"/>
      <c r="I200" s="519"/>
      <c r="J200" s="519"/>
      <c r="K200" s="519"/>
      <c r="L200" s="519"/>
      <c r="M200" s="519"/>
      <c r="N200" s="519"/>
      <c r="O200" s="519"/>
      <c r="P200" s="519"/>
      <c r="Q200" s="519"/>
      <c r="R200" s="519"/>
      <c r="S200" s="519"/>
      <c r="T200" s="519"/>
      <c r="U200" s="519"/>
      <c r="V200" s="519"/>
      <c r="W200" s="519"/>
      <c r="X200" s="519"/>
      <c r="Y200" s="519"/>
      <c r="Z200" s="519"/>
      <c r="AA200" s="519"/>
      <c r="AB200" s="519"/>
      <c r="AC200" s="519"/>
    </row>
    <row r="201" spans="1:29" ht="14.4" customHeight="1">
      <c r="A201" s="519"/>
      <c r="B201" s="521"/>
      <c r="C201" s="519"/>
      <c r="D201" s="519"/>
      <c r="E201" s="519"/>
      <c r="F201" s="519"/>
      <c r="G201" s="519"/>
      <c r="H201" s="519"/>
      <c r="I201" s="519"/>
      <c r="J201" s="519"/>
      <c r="K201" s="519"/>
      <c r="L201" s="519"/>
      <c r="M201" s="519"/>
      <c r="N201" s="519"/>
      <c r="O201" s="519"/>
      <c r="P201" s="519"/>
      <c r="Q201" s="519"/>
      <c r="R201" s="519"/>
      <c r="S201" s="519"/>
      <c r="T201" s="519"/>
      <c r="U201" s="519"/>
      <c r="V201" s="519"/>
      <c r="W201" s="519"/>
      <c r="X201" s="519"/>
      <c r="Y201" s="519"/>
      <c r="Z201" s="519"/>
      <c r="AA201" s="519"/>
      <c r="AB201" s="519"/>
      <c r="AC201" s="519"/>
    </row>
    <row r="202" spans="1:29" ht="14.4" customHeight="1">
      <c r="A202" s="519"/>
      <c r="B202" s="521"/>
      <c r="C202" s="519"/>
      <c r="D202" s="519"/>
      <c r="E202" s="519"/>
      <c r="F202" s="519"/>
      <c r="G202" s="519"/>
      <c r="H202" s="519"/>
      <c r="I202" s="519"/>
      <c r="J202" s="519"/>
      <c r="K202" s="519"/>
      <c r="L202" s="519"/>
      <c r="M202" s="519"/>
      <c r="N202" s="519"/>
      <c r="O202" s="519"/>
      <c r="P202" s="519"/>
      <c r="Q202" s="519"/>
      <c r="R202" s="519"/>
      <c r="S202" s="519"/>
      <c r="T202" s="519"/>
      <c r="U202" s="519"/>
      <c r="V202" s="519"/>
      <c r="W202" s="519"/>
      <c r="X202" s="519"/>
      <c r="Y202" s="519"/>
      <c r="Z202" s="519"/>
      <c r="AA202" s="519"/>
      <c r="AB202" s="519"/>
      <c r="AC202" s="519"/>
    </row>
    <row r="203" spans="1:29" ht="14.4" customHeight="1">
      <c r="A203" s="519"/>
      <c r="B203" s="521"/>
      <c r="C203" s="519"/>
      <c r="D203" s="519"/>
      <c r="E203" s="519"/>
      <c r="F203" s="519"/>
      <c r="G203" s="519"/>
      <c r="H203" s="519"/>
      <c r="I203" s="519"/>
      <c r="J203" s="519"/>
      <c r="K203" s="519"/>
      <c r="L203" s="519"/>
      <c r="M203" s="519"/>
      <c r="N203" s="519"/>
      <c r="O203" s="519"/>
      <c r="P203" s="519"/>
      <c r="Q203" s="519"/>
      <c r="R203" s="519"/>
      <c r="S203" s="519"/>
      <c r="T203" s="519"/>
      <c r="U203" s="519"/>
      <c r="V203" s="519"/>
      <c r="W203" s="519"/>
      <c r="X203" s="519"/>
      <c r="Y203" s="519"/>
      <c r="Z203" s="519"/>
      <c r="AA203" s="519"/>
      <c r="AB203" s="519"/>
      <c r="AC203" s="519"/>
    </row>
    <row r="204" spans="1:29" ht="14.4" customHeight="1">
      <c r="A204" s="519"/>
      <c r="B204" s="521"/>
      <c r="C204" s="519"/>
      <c r="D204" s="519"/>
      <c r="E204" s="519"/>
      <c r="F204" s="519"/>
      <c r="G204" s="519"/>
      <c r="H204" s="519"/>
      <c r="I204" s="519"/>
      <c r="J204" s="519"/>
      <c r="K204" s="519"/>
      <c r="L204" s="519"/>
      <c r="M204" s="519"/>
      <c r="N204" s="519"/>
      <c r="O204" s="519"/>
      <c r="P204" s="519"/>
      <c r="Q204" s="519"/>
      <c r="R204" s="519"/>
      <c r="S204" s="519"/>
      <c r="T204" s="519"/>
      <c r="U204" s="519"/>
      <c r="V204" s="519"/>
      <c r="W204" s="519"/>
      <c r="X204" s="519"/>
      <c r="Y204" s="519"/>
      <c r="Z204" s="519"/>
      <c r="AA204" s="519"/>
      <c r="AB204" s="519"/>
      <c r="AC204" s="519"/>
    </row>
    <row r="205" spans="1:29" ht="14.4" customHeight="1">
      <c r="A205" s="519"/>
      <c r="B205" s="521"/>
      <c r="C205" s="519"/>
      <c r="D205" s="519"/>
      <c r="E205" s="519"/>
      <c r="F205" s="519"/>
      <c r="G205" s="519"/>
      <c r="H205" s="519"/>
      <c r="I205" s="519"/>
      <c r="J205" s="519"/>
      <c r="K205" s="519"/>
      <c r="L205" s="519"/>
      <c r="M205" s="519"/>
      <c r="N205" s="519"/>
      <c r="O205" s="519"/>
      <c r="P205" s="519"/>
      <c r="Q205" s="519"/>
      <c r="R205" s="519"/>
      <c r="S205" s="519"/>
      <c r="T205" s="519"/>
      <c r="U205" s="519"/>
      <c r="V205" s="519"/>
      <c r="W205" s="519"/>
      <c r="X205" s="519"/>
      <c r="Y205" s="519"/>
      <c r="Z205" s="519"/>
      <c r="AA205" s="519"/>
      <c r="AB205" s="519"/>
      <c r="AC205" s="519"/>
    </row>
    <row r="206" spans="1:29" ht="14.4" customHeight="1">
      <c r="A206" s="519"/>
      <c r="B206" s="521"/>
      <c r="C206" s="519"/>
      <c r="D206" s="519"/>
      <c r="E206" s="519"/>
      <c r="F206" s="519"/>
      <c r="G206" s="519"/>
      <c r="H206" s="519"/>
      <c r="I206" s="519"/>
      <c r="J206" s="519"/>
      <c r="K206" s="519"/>
      <c r="L206" s="519"/>
      <c r="M206" s="519"/>
      <c r="N206" s="519"/>
      <c r="O206" s="519"/>
      <c r="P206" s="519"/>
      <c r="Q206" s="519"/>
      <c r="R206" s="519"/>
      <c r="S206" s="519"/>
      <c r="T206" s="519"/>
      <c r="U206" s="519"/>
      <c r="V206" s="519"/>
      <c r="W206" s="519"/>
      <c r="X206" s="519"/>
      <c r="Y206" s="519"/>
      <c r="Z206" s="519"/>
      <c r="AA206" s="519"/>
      <c r="AB206" s="519"/>
      <c r="AC206" s="519"/>
    </row>
    <row r="207" spans="1:29" ht="14.4" customHeight="1">
      <c r="A207" s="519"/>
      <c r="B207" s="521"/>
      <c r="C207" s="519"/>
      <c r="D207" s="519"/>
      <c r="E207" s="519"/>
      <c r="F207" s="519"/>
      <c r="G207" s="519"/>
      <c r="H207" s="519"/>
      <c r="I207" s="519"/>
      <c r="J207" s="519"/>
      <c r="K207" s="519"/>
      <c r="L207" s="519"/>
      <c r="M207" s="519"/>
      <c r="N207" s="519"/>
      <c r="O207" s="519"/>
      <c r="P207" s="519"/>
      <c r="Q207" s="519"/>
      <c r="R207" s="519"/>
      <c r="S207" s="519"/>
      <c r="T207" s="519"/>
      <c r="U207" s="519"/>
      <c r="V207" s="519"/>
      <c r="W207" s="519"/>
      <c r="X207" s="519"/>
      <c r="Y207" s="519"/>
      <c r="Z207" s="519"/>
      <c r="AA207" s="519"/>
      <c r="AB207" s="519"/>
      <c r="AC207" s="519"/>
    </row>
    <row r="208" spans="1:29" ht="14.4" customHeight="1">
      <c r="A208" s="519"/>
      <c r="B208" s="521"/>
      <c r="C208" s="519"/>
      <c r="D208" s="519"/>
      <c r="E208" s="519"/>
      <c r="F208" s="519"/>
      <c r="G208" s="519"/>
      <c r="H208" s="519"/>
      <c r="I208" s="519"/>
      <c r="J208" s="519"/>
      <c r="K208" s="519"/>
      <c r="L208" s="519"/>
      <c r="M208" s="519"/>
      <c r="N208" s="519"/>
      <c r="O208" s="519"/>
      <c r="P208" s="519"/>
      <c r="Q208" s="519"/>
      <c r="R208" s="519"/>
      <c r="S208" s="519"/>
      <c r="T208" s="519"/>
      <c r="U208" s="519"/>
      <c r="V208" s="519"/>
      <c r="W208" s="519"/>
      <c r="X208" s="519"/>
      <c r="Y208" s="519"/>
      <c r="Z208" s="519"/>
      <c r="AA208" s="519"/>
      <c r="AB208" s="519"/>
      <c r="AC208" s="519"/>
    </row>
    <row r="209" spans="1:29" ht="14.4" customHeight="1">
      <c r="A209" s="519"/>
      <c r="B209" s="521"/>
      <c r="C209" s="519"/>
      <c r="D209" s="519"/>
      <c r="E209" s="519"/>
      <c r="F209" s="519"/>
      <c r="G209" s="519"/>
      <c r="H209" s="519"/>
      <c r="I209" s="519"/>
      <c r="J209" s="519"/>
      <c r="K209" s="519"/>
      <c r="L209" s="519"/>
      <c r="M209" s="519"/>
      <c r="N209" s="519"/>
      <c r="O209" s="519"/>
      <c r="P209" s="519"/>
      <c r="Q209" s="519"/>
      <c r="R209" s="519"/>
      <c r="S209" s="519"/>
      <c r="T209" s="519"/>
      <c r="U209" s="519"/>
      <c r="V209" s="519"/>
      <c r="W209" s="519"/>
      <c r="X209" s="519"/>
      <c r="Y209" s="519"/>
      <c r="Z209" s="519"/>
      <c r="AA209" s="519"/>
      <c r="AB209" s="519"/>
      <c r="AC209" s="519"/>
    </row>
    <row r="210" spans="1:29" ht="14.4" customHeight="1">
      <c r="A210" s="519"/>
      <c r="B210" s="521"/>
      <c r="C210" s="519"/>
      <c r="D210" s="519"/>
      <c r="E210" s="519"/>
      <c r="F210" s="519"/>
      <c r="G210" s="519"/>
      <c r="H210" s="519"/>
      <c r="I210" s="519"/>
      <c r="J210" s="519"/>
      <c r="K210" s="519"/>
      <c r="L210" s="519"/>
      <c r="M210" s="519"/>
      <c r="N210" s="519"/>
      <c r="O210" s="519"/>
      <c r="P210" s="519"/>
      <c r="Q210" s="519"/>
      <c r="R210" s="519"/>
      <c r="S210" s="519"/>
      <c r="T210" s="519"/>
      <c r="U210" s="519"/>
      <c r="V210" s="519"/>
      <c r="W210" s="519"/>
      <c r="X210" s="519"/>
      <c r="Y210" s="519"/>
      <c r="Z210" s="519"/>
      <c r="AA210" s="519"/>
      <c r="AB210" s="519"/>
      <c r="AC210" s="519"/>
    </row>
    <row r="211" spans="1:29" ht="14.4" customHeight="1">
      <c r="A211" s="519"/>
      <c r="B211" s="521"/>
      <c r="C211" s="519"/>
      <c r="D211" s="519"/>
      <c r="E211" s="519"/>
      <c r="F211" s="519"/>
      <c r="G211" s="519"/>
      <c r="H211" s="519"/>
      <c r="I211" s="519"/>
      <c r="J211" s="519"/>
      <c r="K211" s="519"/>
      <c r="L211" s="519"/>
      <c r="M211" s="519"/>
      <c r="N211" s="519"/>
      <c r="O211" s="519"/>
      <c r="P211" s="519"/>
      <c r="Q211" s="519"/>
      <c r="R211" s="519"/>
      <c r="S211" s="519"/>
      <c r="T211" s="519"/>
      <c r="U211" s="519"/>
      <c r="V211" s="519"/>
      <c r="W211" s="519"/>
      <c r="X211" s="519"/>
      <c r="Y211" s="519"/>
      <c r="Z211" s="519"/>
      <c r="AA211" s="519"/>
      <c r="AB211" s="519"/>
      <c r="AC211" s="519"/>
    </row>
    <row r="212" spans="1:29" ht="14.4" customHeight="1">
      <c r="A212" s="519"/>
      <c r="B212" s="521"/>
      <c r="C212" s="519"/>
      <c r="D212" s="519"/>
      <c r="E212" s="519"/>
      <c r="F212" s="519"/>
      <c r="G212" s="519"/>
      <c r="H212" s="519"/>
      <c r="I212" s="519"/>
      <c r="J212" s="519"/>
      <c r="K212" s="519"/>
      <c r="L212" s="519"/>
      <c r="M212" s="519"/>
      <c r="N212" s="519"/>
      <c r="O212" s="519"/>
      <c r="P212" s="519"/>
      <c r="Q212" s="519"/>
      <c r="R212" s="519"/>
      <c r="S212" s="519"/>
      <c r="T212" s="519"/>
      <c r="U212" s="519"/>
      <c r="V212" s="519"/>
      <c r="W212" s="519"/>
      <c r="X212" s="519"/>
      <c r="Y212" s="519"/>
      <c r="Z212" s="519"/>
      <c r="AA212" s="519"/>
      <c r="AB212" s="519"/>
      <c r="AC212" s="519"/>
    </row>
    <row r="213" spans="1:29" ht="14.4" customHeight="1">
      <c r="A213" s="519"/>
      <c r="B213" s="521"/>
      <c r="C213" s="519"/>
      <c r="D213" s="519"/>
      <c r="E213" s="519"/>
      <c r="F213" s="519"/>
      <c r="G213" s="519"/>
      <c r="H213" s="519"/>
      <c r="I213" s="519"/>
      <c r="J213" s="519"/>
      <c r="K213" s="519"/>
      <c r="L213" s="519"/>
      <c r="M213" s="519"/>
      <c r="N213" s="519"/>
      <c r="O213" s="519"/>
      <c r="P213" s="519"/>
      <c r="Q213" s="519"/>
      <c r="R213" s="519"/>
      <c r="S213" s="519"/>
      <c r="T213" s="519"/>
      <c r="U213" s="519"/>
      <c r="V213" s="519"/>
      <c r="W213" s="519"/>
      <c r="X213" s="519"/>
      <c r="Y213" s="519"/>
      <c r="Z213" s="519"/>
      <c r="AA213" s="519"/>
      <c r="AB213" s="519"/>
      <c r="AC213" s="519"/>
    </row>
    <row r="214" spans="1:29" ht="14.4" customHeight="1">
      <c r="A214" s="519"/>
      <c r="B214" s="521"/>
      <c r="C214" s="519"/>
      <c r="D214" s="519"/>
      <c r="E214" s="519"/>
      <c r="F214" s="519"/>
      <c r="G214" s="519"/>
      <c r="H214" s="519"/>
      <c r="I214" s="519"/>
      <c r="J214" s="519"/>
      <c r="K214" s="519"/>
      <c r="L214" s="519"/>
      <c r="M214" s="519"/>
      <c r="N214" s="519"/>
      <c r="O214" s="519"/>
      <c r="P214" s="519"/>
      <c r="Q214" s="519"/>
      <c r="R214" s="519"/>
      <c r="S214" s="519"/>
      <c r="T214" s="519"/>
      <c r="U214" s="519"/>
      <c r="V214" s="519"/>
      <c r="W214" s="519"/>
      <c r="X214" s="519"/>
      <c r="Y214" s="519"/>
      <c r="Z214" s="519"/>
      <c r="AA214" s="519"/>
      <c r="AB214" s="519"/>
      <c r="AC214" s="519"/>
    </row>
    <row r="215" spans="1:29" ht="14.4" customHeight="1">
      <c r="A215" s="519"/>
      <c r="B215" s="521"/>
      <c r="C215" s="519"/>
      <c r="D215" s="519"/>
      <c r="E215" s="519"/>
      <c r="F215" s="519"/>
      <c r="G215" s="519"/>
      <c r="H215" s="519"/>
      <c r="I215" s="519"/>
      <c r="J215" s="519"/>
      <c r="K215" s="519"/>
      <c r="L215" s="519"/>
      <c r="M215" s="519"/>
      <c r="N215" s="519"/>
      <c r="O215" s="519"/>
      <c r="P215" s="519"/>
      <c r="Q215" s="519"/>
      <c r="R215" s="519"/>
      <c r="S215" s="519"/>
      <c r="T215" s="519"/>
      <c r="U215" s="519"/>
      <c r="V215" s="519"/>
      <c r="W215" s="519"/>
      <c r="X215" s="519"/>
      <c r="Y215" s="519"/>
      <c r="Z215" s="519"/>
      <c r="AA215" s="519"/>
      <c r="AB215" s="519"/>
      <c r="AC215" s="519"/>
    </row>
    <row r="216" spans="1:29" ht="14.4" customHeight="1">
      <c r="A216" s="519"/>
      <c r="B216" s="521"/>
      <c r="C216" s="519"/>
      <c r="D216" s="519"/>
      <c r="E216" s="519"/>
      <c r="F216" s="519"/>
      <c r="G216" s="519"/>
      <c r="H216" s="519"/>
      <c r="I216" s="519"/>
      <c r="J216" s="519"/>
      <c r="K216" s="519"/>
      <c r="L216" s="519"/>
      <c r="M216" s="519"/>
      <c r="N216" s="519"/>
      <c r="O216" s="519"/>
      <c r="P216" s="519"/>
      <c r="Q216" s="519"/>
      <c r="R216" s="519"/>
      <c r="S216" s="519"/>
      <c r="T216" s="519"/>
      <c r="U216" s="519"/>
      <c r="V216" s="519"/>
      <c r="W216" s="519"/>
      <c r="X216" s="519"/>
      <c r="Y216" s="519"/>
      <c r="Z216" s="519"/>
      <c r="AA216" s="519"/>
      <c r="AB216" s="519"/>
      <c r="AC216" s="519"/>
    </row>
    <row r="217" spans="1:29" ht="14.4" customHeight="1">
      <c r="A217" s="519"/>
      <c r="B217" s="521"/>
      <c r="C217" s="519"/>
      <c r="D217" s="519"/>
      <c r="E217" s="519"/>
      <c r="F217" s="519"/>
      <c r="G217" s="519"/>
      <c r="H217" s="519"/>
      <c r="I217" s="519"/>
      <c r="J217" s="519"/>
      <c r="K217" s="519"/>
      <c r="L217" s="519"/>
      <c r="M217" s="519"/>
      <c r="N217" s="519"/>
      <c r="O217" s="519"/>
      <c r="P217" s="519"/>
      <c r="Q217" s="519"/>
      <c r="R217" s="519"/>
      <c r="S217" s="519"/>
      <c r="T217" s="519"/>
      <c r="U217" s="519"/>
      <c r="V217" s="519"/>
      <c r="W217" s="519"/>
      <c r="X217" s="519"/>
      <c r="Y217" s="519"/>
      <c r="Z217" s="519"/>
      <c r="AA217" s="519"/>
      <c r="AB217" s="519"/>
      <c r="AC217" s="519"/>
    </row>
    <row r="218" spans="1:29" ht="14.4" customHeight="1">
      <c r="A218" s="519"/>
      <c r="B218" s="521"/>
      <c r="C218" s="519"/>
      <c r="D218" s="519"/>
      <c r="E218" s="519"/>
      <c r="F218" s="519"/>
      <c r="G218" s="519"/>
      <c r="H218" s="519"/>
      <c r="I218" s="519"/>
      <c r="J218" s="519"/>
      <c r="K218" s="519"/>
      <c r="L218" s="519"/>
      <c r="M218" s="519"/>
      <c r="N218" s="519"/>
      <c r="O218" s="519"/>
      <c r="P218" s="519"/>
      <c r="Q218" s="519"/>
      <c r="R218" s="519"/>
      <c r="S218" s="519"/>
      <c r="T218" s="519"/>
      <c r="U218" s="519"/>
      <c r="V218" s="519"/>
      <c r="W218" s="519"/>
      <c r="X218" s="519"/>
      <c r="Y218" s="519"/>
      <c r="Z218" s="519"/>
      <c r="AA218" s="519"/>
      <c r="AB218" s="519"/>
      <c r="AC218" s="519"/>
    </row>
    <row r="219" spans="1:29" ht="14.4" customHeight="1">
      <c r="A219" s="519"/>
      <c r="B219" s="521"/>
      <c r="C219" s="519"/>
      <c r="D219" s="519"/>
      <c r="E219" s="519"/>
      <c r="F219" s="519"/>
      <c r="G219" s="519"/>
      <c r="H219" s="519"/>
      <c r="I219" s="519"/>
      <c r="J219" s="519"/>
      <c r="K219" s="519"/>
      <c r="L219" s="519"/>
      <c r="M219" s="519"/>
      <c r="N219" s="519"/>
      <c r="O219" s="519"/>
      <c r="P219" s="519"/>
      <c r="Q219" s="519"/>
      <c r="R219" s="519"/>
      <c r="S219" s="519"/>
      <c r="T219" s="519"/>
      <c r="U219" s="519"/>
      <c r="V219" s="519"/>
      <c r="W219" s="519"/>
      <c r="X219" s="519"/>
      <c r="Y219" s="519"/>
      <c r="Z219" s="519"/>
      <c r="AA219" s="519"/>
      <c r="AB219" s="519"/>
      <c r="AC219" s="519"/>
    </row>
    <row r="220" spans="1:29" ht="14.4" customHeight="1">
      <c r="A220" s="519"/>
      <c r="B220" s="521"/>
      <c r="C220" s="519"/>
      <c r="D220" s="519"/>
      <c r="E220" s="519"/>
      <c r="F220" s="519"/>
      <c r="G220" s="519"/>
      <c r="H220" s="519"/>
      <c r="I220" s="519"/>
      <c r="J220" s="519"/>
      <c r="K220" s="519"/>
      <c r="L220" s="519"/>
      <c r="M220" s="519"/>
      <c r="N220" s="519"/>
      <c r="O220" s="519"/>
      <c r="P220" s="519"/>
      <c r="Q220" s="519"/>
      <c r="R220" s="519"/>
      <c r="S220" s="519"/>
      <c r="T220" s="519"/>
      <c r="U220" s="519"/>
      <c r="V220" s="519"/>
      <c r="W220" s="519"/>
      <c r="X220" s="519"/>
      <c r="Y220" s="519"/>
      <c r="Z220" s="519"/>
      <c r="AA220" s="519"/>
      <c r="AB220" s="519"/>
      <c r="AC220" s="519"/>
    </row>
    <row r="221" spans="1:29" ht="14.4" customHeight="1">
      <c r="A221" s="519"/>
      <c r="B221" s="521"/>
      <c r="C221" s="519"/>
      <c r="D221" s="519"/>
      <c r="E221" s="519"/>
      <c r="F221" s="519"/>
      <c r="G221" s="519"/>
      <c r="H221" s="519"/>
      <c r="I221" s="519"/>
      <c r="J221" s="519"/>
      <c r="K221" s="519"/>
      <c r="L221" s="519"/>
      <c r="M221" s="519"/>
      <c r="N221" s="519"/>
      <c r="O221" s="519"/>
      <c r="P221" s="519"/>
      <c r="Q221" s="519"/>
      <c r="R221" s="519"/>
      <c r="S221" s="519"/>
      <c r="T221" s="519"/>
      <c r="U221" s="519"/>
      <c r="V221" s="519"/>
      <c r="W221" s="519"/>
      <c r="X221" s="519"/>
      <c r="Y221" s="519"/>
      <c r="Z221" s="519"/>
      <c r="AA221" s="519"/>
      <c r="AB221" s="519"/>
      <c r="AC221" s="519"/>
    </row>
    <row r="222" spans="1:29" ht="14.4" customHeight="1">
      <c r="A222" s="519"/>
      <c r="B222" s="521"/>
      <c r="C222" s="519"/>
      <c r="D222" s="519"/>
      <c r="E222" s="519"/>
      <c r="F222" s="519"/>
      <c r="G222" s="519"/>
      <c r="H222" s="519"/>
      <c r="I222" s="519"/>
      <c r="J222" s="519"/>
      <c r="K222" s="519"/>
      <c r="L222" s="519"/>
      <c r="M222" s="519"/>
      <c r="N222" s="519"/>
      <c r="O222" s="519"/>
      <c r="P222" s="519"/>
      <c r="Q222" s="519"/>
      <c r="R222" s="519"/>
      <c r="S222" s="519"/>
      <c r="T222" s="519"/>
      <c r="U222" s="519"/>
      <c r="V222" s="519"/>
      <c r="W222" s="519"/>
      <c r="X222" s="519"/>
      <c r="Y222" s="519"/>
      <c r="Z222" s="519"/>
      <c r="AA222" s="519"/>
      <c r="AB222" s="519"/>
      <c r="AC222" s="519"/>
    </row>
    <row r="223" spans="1:29" ht="14.4" customHeight="1">
      <c r="A223" s="519"/>
      <c r="B223" s="521"/>
      <c r="C223" s="519"/>
      <c r="D223" s="519"/>
      <c r="E223" s="519"/>
      <c r="F223" s="519"/>
      <c r="G223" s="519"/>
      <c r="H223" s="519"/>
      <c r="I223" s="519"/>
      <c r="J223" s="519"/>
      <c r="K223" s="519"/>
      <c r="L223" s="519"/>
      <c r="M223" s="519"/>
      <c r="N223" s="519"/>
      <c r="O223" s="519"/>
      <c r="P223" s="519"/>
      <c r="Q223" s="519"/>
      <c r="R223" s="519"/>
      <c r="S223" s="519"/>
      <c r="T223" s="519"/>
      <c r="U223" s="519"/>
      <c r="V223" s="519"/>
      <c r="W223" s="519"/>
      <c r="X223" s="519"/>
      <c r="Y223" s="519"/>
      <c r="Z223" s="519"/>
      <c r="AA223" s="519"/>
      <c r="AB223" s="519"/>
      <c r="AC223" s="519"/>
    </row>
    <row r="224" spans="1:29" ht="14.4" customHeight="1">
      <c r="A224" s="519"/>
      <c r="B224" s="521"/>
      <c r="C224" s="519"/>
      <c r="D224" s="519"/>
      <c r="E224" s="519"/>
      <c r="F224" s="519"/>
      <c r="G224" s="519"/>
      <c r="H224" s="519"/>
      <c r="I224" s="519"/>
      <c r="J224" s="519"/>
      <c r="K224" s="519"/>
      <c r="L224" s="519"/>
      <c r="M224" s="519"/>
      <c r="N224" s="519"/>
      <c r="O224" s="519"/>
      <c r="P224" s="519"/>
      <c r="Q224" s="519"/>
      <c r="R224" s="519"/>
      <c r="S224" s="519"/>
      <c r="T224" s="519"/>
      <c r="U224" s="519"/>
      <c r="V224" s="519"/>
      <c r="W224" s="519"/>
      <c r="X224" s="519"/>
      <c r="Y224" s="519"/>
      <c r="Z224" s="519"/>
      <c r="AA224" s="519"/>
      <c r="AB224" s="519"/>
      <c r="AC224" s="519"/>
    </row>
    <row r="225" spans="1:29" ht="14.4" customHeight="1">
      <c r="A225" s="519"/>
      <c r="B225" s="521"/>
      <c r="C225" s="519"/>
      <c r="D225" s="519"/>
      <c r="E225" s="519"/>
      <c r="F225" s="519"/>
      <c r="G225" s="519"/>
      <c r="H225" s="519"/>
      <c r="I225" s="519"/>
      <c r="J225" s="519"/>
      <c r="K225" s="519"/>
      <c r="L225" s="519"/>
      <c r="M225" s="519"/>
      <c r="N225" s="519"/>
      <c r="O225" s="519"/>
      <c r="P225" s="519"/>
      <c r="Q225" s="519"/>
      <c r="R225" s="519"/>
      <c r="S225" s="519"/>
      <c r="T225" s="519"/>
      <c r="U225" s="519"/>
      <c r="V225" s="519"/>
      <c r="W225" s="519"/>
      <c r="X225" s="519"/>
      <c r="Y225" s="519"/>
      <c r="Z225" s="519"/>
      <c r="AA225" s="519"/>
      <c r="AB225" s="519"/>
      <c r="AC225" s="519"/>
    </row>
    <row r="226" spans="1:29" ht="14.4" customHeight="1">
      <c r="A226" s="519"/>
      <c r="B226" s="521"/>
      <c r="C226" s="519"/>
      <c r="D226" s="519"/>
      <c r="E226" s="519"/>
      <c r="F226" s="519"/>
      <c r="G226" s="519"/>
      <c r="H226" s="519"/>
      <c r="I226" s="519"/>
      <c r="J226" s="519"/>
      <c r="K226" s="519"/>
      <c r="L226" s="519"/>
      <c r="M226" s="519"/>
      <c r="N226" s="519"/>
      <c r="O226" s="519"/>
      <c r="P226" s="519"/>
      <c r="Q226" s="519"/>
      <c r="R226" s="519"/>
      <c r="S226" s="519"/>
      <c r="T226" s="519"/>
      <c r="U226" s="519"/>
      <c r="V226" s="519"/>
      <c r="W226" s="519"/>
      <c r="X226" s="519"/>
      <c r="Y226" s="519"/>
      <c r="Z226" s="519"/>
      <c r="AA226" s="519"/>
      <c r="AB226" s="519"/>
      <c r="AC226" s="519"/>
    </row>
    <row r="227" spans="1:29" ht="14.4" customHeight="1">
      <c r="A227" s="519"/>
      <c r="B227" s="521"/>
      <c r="C227" s="519"/>
      <c r="D227" s="519"/>
      <c r="E227" s="519"/>
      <c r="F227" s="519"/>
      <c r="G227" s="519"/>
      <c r="H227" s="519"/>
      <c r="I227" s="519"/>
      <c r="J227" s="519"/>
      <c r="K227" s="519"/>
      <c r="L227" s="519"/>
      <c r="M227" s="519"/>
      <c r="N227" s="519"/>
      <c r="O227" s="519"/>
      <c r="P227" s="519"/>
      <c r="Q227" s="519"/>
      <c r="R227" s="519"/>
      <c r="S227" s="519"/>
      <c r="T227" s="519"/>
      <c r="U227" s="519"/>
      <c r="V227" s="519"/>
      <c r="W227" s="519"/>
      <c r="X227" s="519"/>
      <c r="Y227" s="519"/>
      <c r="Z227" s="519"/>
      <c r="AA227" s="519"/>
      <c r="AB227" s="519"/>
      <c r="AC227" s="519"/>
    </row>
    <row r="228" spans="1:29" ht="14.4" customHeight="1">
      <c r="A228" s="519"/>
      <c r="B228" s="521"/>
      <c r="C228" s="519"/>
      <c r="D228" s="519"/>
      <c r="E228" s="519"/>
      <c r="F228" s="519"/>
      <c r="G228" s="519"/>
      <c r="H228" s="519"/>
      <c r="I228" s="519"/>
      <c r="J228" s="519"/>
      <c r="K228" s="519"/>
      <c r="L228" s="519"/>
      <c r="M228" s="519"/>
      <c r="N228" s="519"/>
      <c r="O228" s="519"/>
      <c r="P228" s="519"/>
      <c r="Q228" s="519"/>
      <c r="R228" s="519"/>
      <c r="S228" s="519"/>
      <c r="T228" s="519"/>
      <c r="U228" s="519"/>
      <c r="V228" s="519"/>
      <c r="W228" s="519"/>
      <c r="X228" s="519"/>
      <c r="Y228" s="519"/>
      <c r="Z228" s="519"/>
      <c r="AA228" s="519"/>
      <c r="AB228" s="519"/>
      <c r="AC228" s="519"/>
    </row>
    <row r="229" spans="1:29" ht="14.4" customHeight="1">
      <c r="A229" s="519"/>
      <c r="B229" s="521"/>
      <c r="C229" s="519"/>
      <c r="D229" s="519"/>
      <c r="E229" s="519"/>
      <c r="F229" s="519"/>
      <c r="G229" s="519"/>
      <c r="H229" s="519"/>
      <c r="I229" s="519"/>
      <c r="J229" s="519"/>
      <c r="K229" s="519"/>
      <c r="L229" s="519"/>
      <c r="M229" s="519"/>
      <c r="N229" s="519"/>
      <c r="O229" s="519"/>
      <c r="P229" s="519"/>
      <c r="Q229" s="519"/>
      <c r="R229" s="519"/>
      <c r="S229" s="519"/>
      <c r="T229" s="519"/>
      <c r="U229" s="519"/>
      <c r="V229" s="519"/>
      <c r="W229" s="519"/>
      <c r="X229" s="519"/>
      <c r="Y229" s="519"/>
      <c r="Z229" s="519"/>
      <c r="AA229" s="519"/>
      <c r="AB229" s="519"/>
      <c r="AC229" s="519"/>
    </row>
    <row r="230" spans="1:29" ht="14.4" customHeight="1">
      <c r="A230" s="519"/>
      <c r="B230" s="521"/>
      <c r="C230" s="519"/>
      <c r="D230" s="519"/>
      <c r="E230" s="519"/>
      <c r="F230" s="519"/>
      <c r="G230" s="519"/>
      <c r="H230" s="519"/>
      <c r="I230" s="519"/>
      <c r="J230" s="519"/>
      <c r="K230" s="519"/>
      <c r="L230" s="519"/>
      <c r="M230" s="519"/>
      <c r="N230" s="519"/>
      <c r="O230" s="519"/>
      <c r="P230" s="519"/>
      <c r="Q230" s="519"/>
      <c r="R230" s="519"/>
      <c r="S230" s="519"/>
      <c r="T230" s="519"/>
      <c r="U230" s="519"/>
      <c r="V230" s="519"/>
      <c r="W230" s="519"/>
      <c r="X230" s="519"/>
      <c r="Y230" s="519"/>
      <c r="Z230" s="519"/>
      <c r="AA230" s="519"/>
      <c r="AB230" s="519"/>
      <c r="AC230" s="519"/>
    </row>
    <row r="231" spans="1:29" ht="14.4" customHeight="1">
      <c r="A231" s="519"/>
      <c r="B231" s="521"/>
      <c r="C231" s="519"/>
      <c r="D231" s="519"/>
      <c r="E231" s="519"/>
      <c r="F231" s="519"/>
      <c r="G231" s="519"/>
      <c r="H231" s="519"/>
      <c r="I231" s="519"/>
      <c r="J231" s="519"/>
      <c r="K231" s="519"/>
      <c r="L231" s="519"/>
      <c r="M231" s="519"/>
      <c r="N231" s="519"/>
      <c r="O231" s="519"/>
      <c r="P231" s="519"/>
      <c r="Q231" s="519"/>
      <c r="R231" s="519"/>
      <c r="S231" s="519"/>
      <c r="T231" s="519"/>
      <c r="U231" s="519"/>
      <c r="V231" s="519"/>
      <c r="W231" s="519"/>
      <c r="X231" s="519"/>
      <c r="Y231" s="519"/>
      <c r="Z231" s="519"/>
      <c r="AA231" s="519"/>
      <c r="AB231" s="519"/>
      <c r="AC231" s="519"/>
    </row>
    <row r="232" spans="1:29" ht="14.4" customHeight="1">
      <c r="A232" s="519"/>
      <c r="B232" s="521"/>
      <c r="C232" s="519"/>
      <c r="D232" s="519"/>
      <c r="E232" s="519"/>
      <c r="F232" s="519"/>
      <c r="G232" s="519"/>
      <c r="H232" s="519"/>
      <c r="I232" s="519"/>
      <c r="J232" s="519"/>
      <c r="K232" s="519"/>
      <c r="L232" s="519"/>
      <c r="M232" s="519"/>
      <c r="N232" s="519"/>
      <c r="O232" s="519"/>
      <c r="P232" s="519"/>
      <c r="Q232" s="519"/>
      <c r="R232" s="519"/>
      <c r="S232" s="519"/>
      <c r="T232" s="519"/>
      <c r="U232" s="519"/>
      <c r="V232" s="519"/>
      <c r="W232" s="519"/>
      <c r="X232" s="519"/>
      <c r="Y232" s="519"/>
      <c r="Z232" s="519"/>
      <c r="AA232" s="519"/>
      <c r="AB232" s="519"/>
      <c r="AC232" s="519"/>
    </row>
    <row r="233" spans="1:29" ht="14.4" customHeight="1">
      <c r="A233" s="519"/>
      <c r="B233" s="521"/>
      <c r="C233" s="519"/>
      <c r="D233" s="519"/>
      <c r="E233" s="519"/>
      <c r="F233" s="519"/>
      <c r="G233" s="519"/>
      <c r="H233" s="519"/>
      <c r="I233" s="519"/>
      <c r="J233" s="519"/>
      <c r="K233" s="519"/>
      <c r="L233" s="519"/>
      <c r="M233" s="519"/>
      <c r="N233" s="519"/>
      <c r="O233" s="519"/>
      <c r="P233" s="519"/>
      <c r="Q233" s="519"/>
      <c r="R233" s="519"/>
      <c r="S233" s="519"/>
      <c r="T233" s="519"/>
      <c r="U233" s="519"/>
      <c r="V233" s="519"/>
      <c r="W233" s="519"/>
      <c r="X233" s="519"/>
      <c r="Y233" s="519"/>
      <c r="Z233" s="519"/>
      <c r="AA233" s="519"/>
      <c r="AB233" s="519"/>
      <c r="AC233" s="519"/>
    </row>
    <row r="234" spans="1:29" ht="14.4" customHeight="1">
      <c r="A234" s="519"/>
      <c r="B234" s="521"/>
      <c r="C234" s="519"/>
      <c r="D234" s="519"/>
      <c r="E234" s="519"/>
      <c r="F234" s="519"/>
      <c r="G234" s="519"/>
      <c r="H234" s="519"/>
      <c r="I234" s="519"/>
      <c r="J234" s="519"/>
      <c r="K234" s="519"/>
      <c r="L234" s="519"/>
      <c r="M234" s="519"/>
      <c r="N234" s="519"/>
      <c r="O234" s="519"/>
      <c r="P234" s="519"/>
      <c r="Q234" s="519"/>
      <c r="R234" s="519"/>
      <c r="S234" s="519"/>
      <c r="T234" s="519"/>
      <c r="U234" s="519"/>
      <c r="V234" s="519"/>
      <c r="W234" s="519"/>
      <c r="X234" s="519"/>
      <c r="Y234" s="519"/>
      <c r="Z234" s="519"/>
      <c r="AA234" s="519"/>
      <c r="AB234" s="519"/>
      <c r="AC234" s="519"/>
    </row>
    <row r="235" spans="1:29" ht="14.4" customHeight="1">
      <c r="A235" s="519"/>
      <c r="B235" s="521"/>
      <c r="C235" s="519"/>
      <c r="D235" s="519"/>
      <c r="E235" s="519"/>
      <c r="F235" s="519"/>
      <c r="G235" s="519"/>
      <c r="H235" s="519"/>
      <c r="I235" s="519"/>
      <c r="J235" s="519"/>
      <c r="K235" s="519"/>
      <c r="L235" s="519"/>
      <c r="M235" s="519"/>
      <c r="N235" s="519"/>
      <c r="O235" s="519"/>
      <c r="P235" s="519"/>
      <c r="Q235" s="519"/>
      <c r="R235" s="519"/>
      <c r="S235" s="519"/>
      <c r="T235" s="519"/>
      <c r="U235" s="519"/>
      <c r="V235" s="519"/>
      <c r="W235" s="519"/>
      <c r="X235" s="519"/>
      <c r="Y235" s="519"/>
      <c r="Z235" s="519"/>
      <c r="AA235" s="519"/>
      <c r="AB235" s="519"/>
      <c r="AC235" s="519"/>
    </row>
    <row r="236" spans="1:29" ht="14.4" customHeight="1">
      <c r="A236" s="519"/>
      <c r="B236" s="521"/>
      <c r="C236" s="519"/>
      <c r="D236" s="519"/>
      <c r="E236" s="519"/>
      <c r="F236" s="519"/>
      <c r="G236" s="519"/>
      <c r="H236" s="519"/>
      <c r="I236" s="519"/>
      <c r="J236" s="519"/>
      <c r="K236" s="519"/>
      <c r="L236" s="519"/>
      <c r="M236" s="519"/>
      <c r="N236" s="519"/>
      <c r="O236" s="519"/>
      <c r="P236" s="519"/>
      <c r="Q236" s="519"/>
      <c r="R236" s="519"/>
      <c r="S236" s="519"/>
      <c r="T236" s="519"/>
      <c r="U236" s="519"/>
      <c r="V236" s="519"/>
      <c r="W236" s="519"/>
      <c r="X236" s="519"/>
      <c r="Y236" s="519"/>
      <c r="Z236" s="519"/>
      <c r="AA236" s="519"/>
      <c r="AB236" s="519"/>
      <c r="AC236" s="519"/>
    </row>
    <row r="237" spans="1:29" ht="14.4" customHeight="1">
      <c r="A237" s="519"/>
      <c r="B237" s="521"/>
      <c r="C237" s="519"/>
      <c r="D237" s="519"/>
      <c r="E237" s="519"/>
      <c r="F237" s="519"/>
      <c r="G237" s="519"/>
      <c r="H237" s="519"/>
      <c r="I237" s="519"/>
      <c r="J237" s="519"/>
      <c r="K237" s="519"/>
      <c r="L237" s="519"/>
      <c r="M237" s="519"/>
      <c r="N237" s="519"/>
      <c r="O237" s="519"/>
      <c r="P237" s="519"/>
      <c r="Q237" s="519"/>
      <c r="R237" s="519"/>
      <c r="S237" s="519"/>
      <c r="T237" s="519"/>
      <c r="U237" s="519"/>
      <c r="V237" s="519"/>
      <c r="W237" s="519"/>
      <c r="X237" s="519"/>
      <c r="Y237" s="519"/>
      <c r="Z237" s="519"/>
      <c r="AA237" s="519"/>
      <c r="AB237" s="519"/>
      <c r="AC237" s="519"/>
    </row>
    <row r="238" spans="1:29" ht="14.4" customHeight="1">
      <c r="A238" s="519"/>
      <c r="B238" s="521"/>
      <c r="C238" s="519"/>
      <c r="D238" s="519"/>
      <c r="E238" s="519"/>
      <c r="F238" s="519"/>
      <c r="G238" s="519"/>
      <c r="H238" s="519"/>
      <c r="I238" s="519"/>
      <c r="J238" s="519"/>
      <c r="K238" s="519"/>
      <c r="L238" s="519"/>
      <c r="M238" s="519"/>
      <c r="N238" s="519"/>
      <c r="O238" s="519"/>
      <c r="P238" s="519"/>
      <c r="Q238" s="519"/>
      <c r="R238" s="519"/>
      <c r="S238" s="519"/>
      <c r="T238" s="519"/>
      <c r="U238" s="519"/>
      <c r="V238" s="519"/>
      <c r="W238" s="519"/>
      <c r="X238" s="519"/>
      <c r="Y238" s="519"/>
      <c r="Z238" s="519"/>
      <c r="AA238" s="519"/>
      <c r="AB238" s="519"/>
      <c r="AC238" s="519"/>
    </row>
    <row r="239" spans="1:29" ht="14.4" customHeight="1">
      <c r="A239" s="519"/>
      <c r="B239" s="521"/>
      <c r="C239" s="519"/>
      <c r="D239" s="519"/>
      <c r="E239" s="519"/>
      <c r="F239" s="519"/>
      <c r="G239" s="519"/>
      <c r="H239" s="519"/>
      <c r="I239" s="519"/>
      <c r="J239" s="519"/>
      <c r="K239" s="519"/>
      <c r="L239" s="519"/>
      <c r="M239" s="519"/>
      <c r="N239" s="519"/>
      <c r="O239" s="519"/>
      <c r="P239" s="519"/>
      <c r="Q239" s="519"/>
      <c r="R239" s="519"/>
      <c r="S239" s="519"/>
      <c r="T239" s="519"/>
      <c r="U239" s="519"/>
      <c r="V239" s="519"/>
      <c r="W239" s="519"/>
      <c r="X239" s="519"/>
      <c r="Y239" s="519"/>
      <c r="Z239" s="519"/>
      <c r="AA239" s="519"/>
      <c r="AB239" s="519"/>
      <c r="AC239" s="519"/>
    </row>
    <row r="240" spans="1:29" ht="14.4" customHeight="1">
      <c r="A240" s="519"/>
      <c r="B240" s="521"/>
      <c r="C240" s="519"/>
      <c r="D240" s="519"/>
      <c r="E240" s="519"/>
      <c r="F240" s="519"/>
      <c r="G240" s="519"/>
      <c r="H240" s="519"/>
      <c r="I240" s="519"/>
      <c r="J240" s="519"/>
      <c r="K240" s="519"/>
      <c r="L240" s="519"/>
      <c r="M240" s="519"/>
      <c r="N240" s="519"/>
      <c r="O240" s="519"/>
      <c r="P240" s="519"/>
      <c r="Q240" s="519"/>
      <c r="R240" s="519"/>
      <c r="S240" s="519"/>
      <c r="T240" s="519"/>
      <c r="U240" s="519"/>
      <c r="V240" s="519"/>
      <c r="W240" s="519"/>
      <c r="X240" s="519"/>
      <c r="Y240" s="519"/>
      <c r="Z240" s="519"/>
      <c r="AA240" s="519"/>
      <c r="AB240" s="519"/>
      <c r="AC240" s="519"/>
    </row>
    <row r="241" spans="1:29" ht="14.4" customHeight="1">
      <c r="A241" s="519"/>
      <c r="B241" s="521"/>
      <c r="C241" s="519"/>
      <c r="D241" s="519"/>
      <c r="E241" s="519"/>
      <c r="F241" s="519"/>
      <c r="G241" s="519"/>
      <c r="H241" s="519"/>
      <c r="I241" s="519"/>
      <c r="J241" s="519"/>
      <c r="K241" s="519"/>
      <c r="L241" s="519"/>
      <c r="M241" s="519"/>
      <c r="N241" s="519"/>
      <c r="O241" s="519"/>
      <c r="P241" s="519"/>
      <c r="Q241" s="519"/>
      <c r="R241" s="519"/>
      <c r="S241" s="519"/>
      <c r="T241" s="519"/>
      <c r="U241" s="519"/>
      <c r="V241" s="519"/>
      <c r="W241" s="519"/>
      <c r="X241" s="519"/>
      <c r="Y241" s="519"/>
      <c r="Z241" s="519"/>
      <c r="AA241" s="519"/>
      <c r="AB241" s="519"/>
      <c r="AC241" s="519"/>
    </row>
    <row r="242" spans="1:29" ht="14.4" customHeight="1">
      <c r="A242" s="519"/>
      <c r="B242" s="521"/>
      <c r="C242" s="519"/>
      <c r="D242" s="519"/>
      <c r="E242" s="519"/>
      <c r="F242" s="519"/>
      <c r="G242" s="519"/>
      <c r="H242" s="519"/>
      <c r="I242" s="519"/>
      <c r="J242" s="519"/>
      <c r="K242" s="519"/>
      <c r="L242" s="519"/>
      <c r="M242" s="519"/>
      <c r="N242" s="519"/>
      <c r="O242" s="519"/>
      <c r="P242" s="519"/>
      <c r="Q242" s="519"/>
      <c r="R242" s="519"/>
      <c r="S242" s="519"/>
      <c r="T242" s="519"/>
      <c r="U242" s="519"/>
      <c r="V242" s="519"/>
      <c r="W242" s="519"/>
      <c r="X242" s="519"/>
      <c r="Y242" s="519"/>
      <c r="Z242" s="519"/>
      <c r="AA242" s="519"/>
      <c r="AB242" s="519"/>
      <c r="AC242" s="519"/>
    </row>
    <row r="243" spans="1:29" ht="14.4" customHeight="1">
      <c r="A243" s="519"/>
      <c r="B243" s="521"/>
      <c r="C243" s="519"/>
      <c r="D243" s="519"/>
      <c r="E243" s="519"/>
      <c r="F243" s="519"/>
      <c r="G243" s="519"/>
      <c r="H243" s="519"/>
      <c r="I243" s="519"/>
      <c r="J243" s="519"/>
      <c r="K243" s="519"/>
      <c r="L243" s="519"/>
      <c r="M243" s="519"/>
      <c r="N243" s="519"/>
      <c r="O243" s="519"/>
      <c r="P243" s="519"/>
      <c r="Q243" s="519"/>
      <c r="R243" s="519"/>
      <c r="S243" s="519"/>
      <c r="T243" s="519"/>
      <c r="U243" s="519"/>
      <c r="V243" s="519"/>
      <c r="W243" s="519"/>
      <c r="X243" s="519"/>
      <c r="Y243" s="519"/>
      <c r="Z243" s="519"/>
      <c r="AA243" s="519"/>
      <c r="AB243" s="519"/>
      <c r="AC243" s="519"/>
    </row>
    <row r="244" spans="1:29" ht="14.4" customHeight="1">
      <c r="A244" s="519"/>
      <c r="B244" s="521"/>
      <c r="C244" s="519"/>
      <c r="D244" s="519"/>
      <c r="E244" s="519"/>
      <c r="F244" s="519"/>
      <c r="G244" s="519"/>
      <c r="H244" s="519"/>
      <c r="I244" s="519"/>
      <c r="J244" s="519"/>
      <c r="K244" s="519"/>
      <c r="L244" s="519"/>
      <c r="M244" s="519"/>
      <c r="N244" s="519"/>
      <c r="O244" s="519"/>
      <c r="P244" s="519"/>
      <c r="Q244" s="519"/>
      <c r="R244" s="519"/>
      <c r="S244" s="519"/>
      <c r="T244" s="519"/>
      <c r="U244" s="519"/>
      <c r="V244" s="519"/>
      <c r="W244" s="519"/>
      <c r="X244" s="519"/>
      <c r="Y244" s="519"/>
      <c r="Z244" s="519"/>
      <c r="AA244" s="519"/>
      <c r="AB244" s="519"/>
      <c r="AC244" s="519"/>
    </row>
    <row r="245" spans="1:29" ht="14.4" customHeight="1">
      <c r="A245" s="519"/>
      <c r="B245" s="521"/>
      <c r="C245" s="519"/>
      <c r="D245" s="519"/>
      <c r="E245" s="519"/>
      <c r="F245" s="519"/>
      <c r="G245" s="519"/>
      <c r="H245" s="519"/>
      <c r="I245" s="519"/>
      <c r="J245" s="519"/>
      <c r="K245" s="519"/>
      <c r="L245" s="519"/>
      <c r="M245" s="519"/>
      <c r="N245" s="519"/>
      <c r="O245" s="519"/>
      <c r="P245" s="519"/>
      <c r="Q245" s="519"/>
      <c r="R245" s="519"/>
      <c r="S245" s="519"/>
      <c r="T245" s="519"/>
      <c r="U245" s="519"/>
      <c r="V245" s="519"/>
      <c r="W245" s="519"/>
      <c r="X245" s="519"/>
      <c r="Y245" s="519"/>
      <c r="Z245" s="519"/>
      <c r="AA245" s="519"/>
      <c r="AB245" s="519"/>
      <c r="AC245" s="519"/>
    </row>
    <row r="246" spans="1:29" ht="14.4" customHeight="1">
      <c r="A246" s="519"/>
      <c r="B246" s="521"/>
      <c r="C246" s="519"/>
      <c r="D246" s="519"/>
      <c r="E246" s="519"/>
      <c r="F246" s="519"/>
      <c r="G246" s="519"/>
      <c r="H246" s="519"/>
      <c r="I246" s="519"/>
      <c r="J246" s="519"/>
      <c r="K246" s="519"/>
      <c r="L246" s="519"/>
      <c r="M246" s="519"/>
      <c r="N246" s="519"/>
      <c r="O246" s="519"/>
      <c r="P246" s="519"/>
      <c r="Q246" s="519"/>
      <c r="R246" s="519"/>
      <c r="S246" s="519"/>
      <c r="T246" s="519"/>
      <c r="U246" s="519"/>
      <c r="V246" s="519"/>
      <c r="W246" s="519"/>
      <c r="X246" s="519"/>
      <c r="Y246" s="519"/>
      <c r="Z246" s="519"/>
      <c r="AA246" s="519"/>
      <c r="AB246" s="519"/>
      <c r="AC246" s="519"/>
    </row>
    <row r="247" spans="1:29" ht="14.4" customHeight="1">
      <c r="A247" s="519"/>
      <c r="B247" s="521"/>
      <c r="C247" s="519"/>
      <c r="D247" s="519"/>
      <c r="E247" s="519"/>
      <c r="F247" s="519"/>
      <c r="G247" s="519"/>
      <c r="H247" s="519"/>
      <c r="I247" s="519"/>
      <c r="J247" s="519"/>
      <c r="K247" s="519"/>
      <c r="L247" s="519"/>
      <c r="M247" s="519"/>
      <c r="N247" s="519"/>
      <c r="O247" s="519"/>
      <c r="P247" s="519"/>
      <c r="Q247" s="519"/>
      <c r="R247" s="519"/>
      <c r="S247" s="519"/>
      <c r="T247" s="519"/>
      <c r="U247" s="519"/>
      <c r="V247" s="519"/>
      <c r="W247" s="519"/>
      <c r="X247" s="519"/>
      <c r="Y247" s="519"/>
      <c r="Z247" s="519"/>
      <c r="AA247" s="519"/>
      <c r="AB247" s="519"/>
      <c r="AC247" s="519"/>
    </row>
    <row r="248" spans="1:29" ht="14.4" customHeight="1">
      <c r="A248" s="519"/>
      <c r="B248" s="521"/>
      <c r="C248" s="519"/>
      <c r="D248" s="519"/>
      <c r="E248" s="519"/>
      <c r="F248" s="519"/>
      <c r="G248" s="519"/>
      <c r="H248" s="519"/>
      <c r="I248" s="519"/>
      <c r="J248" s="519"/>
      <c r="K248" s="519"/>
      <c r="L248" s="519"/>
      <c r="M248" s="519"/>
      <c r="N248" s="519"/>
      <c r="O248" s="519"/>
      <c r="P248" s="519"/>
      <c r="Q248" s="519"/>
      <c r="R248" s="519"/>
      <c r="S248" s="519"/>
      <c r="T248" s="519"/>
      <c r="U248" s="519"/>
      <c r="V248" s="519"/>
      <c r="W248" s="519"/>
      <c r="X248" s="519"/>
      <c r="Y248" s="519"/>
      <c r="Z248" s="519"/>
      <c r="AA248" s="519"/>
      <c r="AB248" s="519"/>
      <c r="AC248" s="519"/>
    </row>
    <row r="249" spans="1:29" ht="14.4" customHeight="1">
      <c r="A249" s="519"/>
      <c r="B249" s="521"/>
      <c r="C249" s="519"/>
      <c r="D249" s="519"/>
      <c r="E249" s="519"/>
      <c r="F249" s="519"/>
      <c r="G249" s="519"/>
      <c r="H249" s="519"/>
      <c r="I249" s="519"/>
      <c r="J249" s="519"/>
      <c r="K249" s="519"/>
      <c r="L249" s="519"/>
      <c r="M249" s="519"/>
      <c r="N249" s="519"/>
      <c r="O249" s="519"/>
      <c r="P249" s="519"/>
      <c r="Q249" s="519"/>
      <c r="R249" s="519"/>
      <c r="S249" s="519"/>
      <c r="T249" s="519"/>
      <c r="U249" s="519"/>
      <c r="V249" s="519"/>
      <c r="W249" s="519"/>
      <c r="X249" s="519"/>
      <c r="Y249" s="519"/>
      <c r="Z249" s="519"/>
      <c r="AA249" s="519"/>
      <c r="AB249" s="519"/>
      <c r="AC249" s="519"/>
    </row>
    <row r="250" spans="1:29" ht="14.4" customHeight="1">
      <c r="A250" s="519"/>
      <c r="B250" s="521"/>
      <c r="C250" s="519"/>
      <c r="D250" s="519"/>
      <c r="E250" s="519"/>
      <c r="F250" s="519"/>
      <c r="G250" s="519"/>
      <c r="H250" s="519"/>
      <c r="I250" s="519"/>
      <c r="J250" s="519"/>
      <c r="K250" s="519"/>
      <c r="L250" s="519"/>
      <c r="M250" s="519"/>
      <c r="N250" s="519"/>
      <c r="O250" s="519"/>
      <c r="P250" s="519"/>
      <c r="Q250" s="519"/>
      <c r="R250" s="519"/>
      <c r="S250" s="519"/>
      <c r="T250" s="519"/>
      <c r="U250" s="519"/>
      <c r="V250" s="519"/>
      <c r="W250" s="519"/>
      <c r="X250" s="519"/>
      <c r="Y250" s="519"/>
      <c r="Z250" s="519"/>
      <c r="AA250" s="519"/>
      <c r="AB250" s="519"/>
      <c r="AC250" s="519"/>
    </row>
    <row r="251" spans="1:29" ht="14.4" customHeight="1">
      <c r="A251" s="519"/>
      <c r="B251" s="521"/>
      <c r="C251" s="519"/>
      <c r="D251" s="519"/>
      <c r="E251" s="519"/>
      <c r="F251" s="519"/>
      <c r="G251" s="519"/>
      <c r="H251" s="519"/>
      <c r="I251" s="519"/>
      <c r="J251" s="519"/>
      <c r="K251" s="519"/>
      <c r="L251" s="519"/>
      <c r="M251" s="519"/>
      <c r="N251" s="519"/>
      <c r="O251" s="519"/>
      <c r="P251" s="519"/>
      <c r="Q251" s="519"/>
      <c r="R251" s="519"/>
      <c r="S251" s="519"/>
      <c r="T251" s="519"/>
      <c r="U251" s="519"/>
      <c r="V251" s="519"/>
      <c r="W251" s="519"/>
      <c r="X251" s="519"/>
      <c r="Y251" s="519"/>
      <c r="Z251" s="519"/>
      <c r="AA251" s="519"/>
      <c r="AB251" s="519"/>
      <c r="AC251" s="519"/>
    </row>
    <row r="252" spans="1:29" ht="14.4" customHeight="1">
      <c r="A252" s="519"/>
      <c r="B252" s="521"/>
      <c r="C252" s="519"/>
      <c r="D252" s="519"/>
      <c r="E252" s="519"/>
      <c r="F252" s="519"/>
      <c r="G252" s="519"/>
      <c r="H252" s="519"/>
      <c r="I252" s="519"/>
      <c r="J252" s="519"/>
      <c r="K252" s="519"/>
      <c r="L252" s="519"/>
      <c r="M252" s="519"/>
      <c r="N252" s="519"/>
      <c r="O252" s="519"/>
      <c r="P252" s="519"/>
      <c r="Q252" s="519"/>
      <c r="R252" s="519"/>
      <c r="S252" s="519"/>
      <c r="T252" s="519"/>
      <c r="U252" s="519"/>
      <c r="V252" s="519"/>
      <c r="W252" s="519"/>
      <c r="X252" s="519"/>
      <c r="Y252" s="519"/>
      <c r="Z252" s="519"/>
      <c r="AA252" s="519"/>
      <c r="AB252" s="519"/>
      <c r="AC252" s="519"/>
    </row>
    <row r="253" spans="1:29" ht="14.4" customHeight="1">
      <c r="A253" s="519"/>
      <c r="B253" s="521"/>
      <c r="C253" s="519"/>
      <c r="D253" s="519"/>
      <c r="E253" s="519"/>
      <c r="F253" s="519"/>
      <c r="G253" s="519"/>
      <c r="H253" s="519"/>
      <c r="I253" s="519"/>
      <c r="J253" s="519"/>
      <c r="K253" s="519"/>
      <c r="L253" s="519"/>
      <c r="M253" s="519"/>
      <c r="N253" s="519"/>
      <c r="O253" s="519"/>
      <c r="P253" s="519"/>
      <c r="Q253" s="519"/>
      <c r="R253" s="519"/>
      <c r="S253" s="519"/>
      <c r="T253" s="519"/>
      <c r="U253" s="519"/>
      <c r="V253" s="519"/>
      <c r="W253" s="519"/>
      <c r="X253" s="519"/>
      <c r="Y253" s="519"/>
      <c r="Z253" s="519"/>
      <c r="AA253" s="519"/>
      <c r="AB253" s="519"/>
      <c r="AC253" s="519"/>
    </row>
    <row r="254" spans="1:29" ht="14.4" customHeight="1">
      <c r="A254" s="519"/>
      <c r="B254" s="521"/>
      <c r="C254" s="519"/>
      <c r="D254" s="519"/>
      <c r="E254" s="519"/>
      <c r="F254" s="519"/>
      <c r="G254" s="519"/>
      <c r="H254" s="519"/>
      <c r="I254" s="519"/>
      <c r="J254" s="519"/>
      <c r="K254" s="519"/>
      <c r="L254" s="519"/>
      <c r="M254" s="519"/>
      <c r="N254" s="519"/>
      <c r="O254" s="519"/>
      <c r="P254" s="519"/>
      <c r="Q254" s="519"/>
      <c r="R254" s="519"/>
      <c r="S254" s="519"/>
      <c r="T254" s="519"/>
      <c r="U254" s="519"/>
      <c r="V254" s="519"/>
      <c r="W254" s="519"/>
      <c r="X254" s="519"/>
      <c r="Y254" s="519"/>
      <c r="Z254" s="519"/>
      <c r="AA254" s="519"/>
      <c r="AB254" s="519"/>
      <c r="AC254" s="519"/>
    </row>
    <row r="255" spans="1:29" ht="14.4" customHeight="1">
      <c r="A255" s="519"/>
      <c r="B255" s="521"/>
      <c r="C255" s="519"/>
      <c r="D255" s="519"/>
      <c r="E255" s="519"/>
      <c r="F255" s="519"/>
      <c r="G255" s="519"/>
      <c r="H255" s="519"/>
      <c r="I255" s="519"/>
      <c r="J255" s="519"/>
      <c r="K255" s="519"/>
      <c r="L255" s="519"/>
      <c r="M255" s="519"/>
      <c r="N255" s="519"/>
      <c r="O255" s="519"/>
      <c r="P255" s="519"/>
      <c r="Q255" s="519"/>
      <c r="R255" s="519"/>
      <c r="S255" s="519"/>
      <c r="T255" s="519"/>
      <c r="U255" s="519"/>
      <c r="V255" s="519"/>
      <c r="W255" s="519"/>
      <c r="X255" s="519"/>
      <c r="Y255" s="519"/>
      <c r="Z255" s="519"/>
      <c r="AA255" s="519"/>
      <c r="AB255" s="519"/>
      <c r="AC255" s="519"/>
    </row>
    <row r="256" spans="1:29" ht="14.4" customHeight="1">
      <c r="A256" s="519"/>
      <c r="B256" s="521"/>
      <c r="C256" s="519"/>
      <c r="D256" s="519"/>
      <c r="E256" s="519"/>
      <c r="F256" s="519"/>
      <c r="G256" s="519"/>
      <c r="H256" s="519"/>
      <c r="I256" s="519"/>
      <c r="J256" s="519"/>
      <c r="K256" s="519"/>
      <c r="L256" s="519"/>
      <c r="M256" s="519"/>
      <c r="N256" s="519"/>
      <c r="O256" s="519"/>
      <c r="P256" s="519"/>
      <c r="Q256" s="519"/>
      <c r="R256" s="519"/>
      <c r="S256" s="519"/>
      <c r="T256" s="519"/>
      <c r="U256" s="519"/>
      <c r="V256" s="519"/>
      <c r="W256" s="519"/>
      <c r="X256" s="519"/>
      <c r="Y256" s="519"/>
      <c r="Z256" s="519"/>
      <c r="AA256" s="519"/>
      <c r="AB256" s="519"/>
      <c r="AC256" s="519"/>
    </row>
    <row r="257" spans="1:29" ht="14.4" customHeight="1">
      <c r="A257" s="519"/>
      <c r="B257" s="521"/>
      <c r="C257" s="519"/>
      <c r="D257" s="519"/>
      <c r="E257" s="519"/>
      <c r="F257" s="519"/>
      <c r="G257" s="519"/>
      <c r="H257" s="519"/>
      <c r="I257" s="519"/>
      <c r="J257" s="519"/>
      <c r="K257" s="519"/>
      <c r="L257" s="519"/>
      <c r="M257" s="519"/>
      <c r="N257" s="519"/>
      <c r="O257" s="519"/>
      <c r="P257" s="519"/>
      <c r="Q257" s="519"/>
      <c r="R257" s="519"/>
      <c r="S257" s="519"/>
      <c r="T257" s="519"/>
      <c r="U257" s="519"/>
      <c r="V257" s="519"/>
      <c r="W257" s="519"/>
      <c r="X257" s="519"/>
      <c r="Y257" s="519"/>
      <c r="Z257" s="519"/>
      <c r="AA257" s="519"/>
      <c r="AB257" s="519"/>
      <c r="AC257" s="519"/>
    </row>
    <row r="258" spans="1:29" ht="14.4" customHeight="1">
      <c r="A258" s="519"/>
      <c r="B258" s="521"/>
      <c r="C258" s="519"/>
      <c r="D258" s="519"/>
      <c r="E258" s="519"/>
      <c r="F258" s="519"/>
      <c r="G258" s="519"/>
      <c r="H258" s="519"/>
      <c r="I258" s="519"/>
      <c r="J258" s="519"/>
      <c r="K258" s="519"/>
      <c r="L258" s="519"/>
      <c r="M258" s="519"/>
      <c r="N258" s="519"/>
      <c r="O258" s="519"/>
      <c r="P258" s="519"/>
      <c r="Q258" s="519"/>
      <c r="R258" s="519"/>
      <c r="S258" s="519"/>
      <c r="T258" s="519"/>
      <c r="U258" s="519"/>
      <c r="V258" s="519"/>
      <c r="W258" s="519"/>
      <c r="X258" s="519"/>
      <c r="Y258" s="519"/>
      <c r="Z258" s="519"/>
      <c r="AA258" s="519"/>
      <c r="AB258" s="519"/>
      <c r="AC258" s="519"/>
    </row>
    <row r="259" spans="1:29" ht="14.4" customHeight="1">
      <c r="A259" s="519"/>
      <c r="B259" s="521"/>
      <c r="C259" s="519"/>
      <c r="D259" s="519"/>
      <c r="E259" s="519"/>
      <c r="F259" s="519"/>
      <c r="G259" s="519"/>
      <c r="H259" s="519"/>
      <c r="I259" s="519"/>
      <c r="J259" s="519"/>
      <c r="K259" s="519"/>
      <c r="L259" s="519"/>
      <c r="M259" s="519"/>
      <c r="N259" s="519"/>
      <c r="O259" s="519"/>
      <c r="P259" s="519"/>
      <c r="Q259" s="519"/>
      <c r="R259" s="519"/>
      <c r="S259" s="519"/>
      <c r="T259" s="519"/>
      <c r="U259" s="519"/>
      <c r="V259" s="519"/>
      <c r="W259" s="519"/>
      <c r="X259" s="519"/>
      <c r="Y259" s="519"/>
      <c r="Z259" s="519"/>
      <c r="AA259" s="519"/>
      <c r="AB259" s="519"/>
      <c r="AC259" s="519"/>
    </row>
    <row r="260" spans="1:29" ht="14.4" customHeight="1">
      <c r="A260" s="519"/>
      <c r="B260" s="521"/>
      <c r="C260" s="519"/>
      <c r="D260" s="519"/>
      <c r="E260" s="519"/>
      <c r="F260" s="519"/>
      <c r="G260" s="519"/>
      <c r="H260" s="519"/>
      <c r="I260" s="519"/>
      <c r="J260" s="519"/>
      <c r="K260" s="519"/>
      <c r="L260" s="519"/>
      <c r="M260" s="519"/>
      <c r="N260" s="519"/>
      <c r="O260" s="519"/>
      <c r="P260" s="519"/>
      <c r="Q260" s="519"/>
      <c r="R260" s="519"/>
      <c r="S260" s="519"/>
      <c r="T260" s="519"/>
      <c r="U260" s="519"/>
      <c r="V260" s="519"/>
      <c r="W260" s="519"/>
      <c r="X260" s="519"/>
      <c r="Y260" s="519"/>
      <c r="Z260" s="519"/>
      <c r="AA260" s="519"/>
      <c r="AB260" s="519"/>
      <c r="AC260" s="519"/>
    </row>
    <row r="261" spans="1:29" ht="14.4" customHeight="1">
      <c r="A261" s="519"/>
      <c r="B261" s="521"/>
      <c r="C261" s="519"/>
      <c r="D261" s="519"/>
      <c r="E261" s="519"/>
      <c r="F261" s="519"/>
      <c r="G261" s="519"/>
      <c r="H261" s="519"/>
      <c r="I261" s="519"/>
      <c r="J261" s="519"/>
      <c r="K261" s="519"/>
      <c r="L261" s="519"/>
      <c r="M261" s="519"/>
      <c r="N261" s="519"/>
      <c r="O261" s="519"/>
      <c r="P261" s="519"/>
      <c r="Q261" s="519"/>
      <c r="R261" s="519"/>
      <c r="S261" s="519"/>
      <c r="T261" s="519"/>
      <c r="U261" s="519"/>
      <c r="V261" s="519"/>
      <c r="W261" s="519"/>
      <c r="X261" s="519"/>
      <c r="Y261" s="519"/>
      <c r="Z261" s="519"/>
      <c r="AA261" s="519"/>
      <c r="AB261" s="519"/>
      <c r="AC261" s="519"/>
    </row>
    <row r="262" spans="1:29" ht="14.4" customHeight="1">
      <c r="A262" s="519"/>
      <c r="B262" s="521"/>
      <c r="C262" s="519"/>
      <c r="D262" s="519"/>
      <c r="E262" s="519"/>
      <c r="F262" s="519"/>
      <c r="G262" s="519"/>
      <c r="H262" s="519"/>
      <c r="I262" s="519"/>
      <c r="J262" s="519"/>
      <c r="K262" s="519"/>
      <c r="L262" s="519"/>
      <c r="M262" s="519"/>
      <c r="N262" s="519"/>
      <c r="O262" s="519"/>
      <c r="P262" s="519"/>
      <c r="Q262" s="519"/>
      <c r="R262" s="519"/>
      <c r="S262" s="519"/>
      <c r="T262" s="519"/>
      <c r="U262" s="519"/>
      <c r="V262" s="519"/>
      <c r="W262" s="519"/>
      <c r="X262" s="519"/>
      <c r="Y262" s="519"/>
      <c r="Z262" s="519"/>
      <c r="AA262" s="519"/>
      <c r="AB262" s="519"/>
      <c r="AC262" s="519"/>
    </row>
    <row r="263" spans="1:29" ht="14.4" customHeight="1">
      <c r="A263" s="519"/>
      <c r="B263" s="521"/>
      <c r="C263" s="519"/>
      <c r="D263" s="519"/>
      <c r="E263" s="519"/>
      <c r="F263" s="519"/>
      <c r="G263" s="519"/>
      <c r="H263" s="519"/>
      <c r="I263" s="519"/>
      <c r="J263" s="519"/>
      <c r="K263" s="519"/>
      <c r="L263" s="519"/>
      <c r="M263" s="519"/>
      <c r="N263" s="519"/>
      <c r="O263" s="519"/>
      <c r="P263" s="519"/>
      <c r="Q263" s="519"/>
      <c r="R263" s="519"/>
      <c r="S263" s="519"/>
      <c r="T263" s="519"/>
      <c r="U263" s="519"/>
      <c r="V263" s="519"/>
      <c r="W263" s="519"/>
      <c r="X263" s="519"/>
      <c r="Y263" s="519"/>
      <c r="Z263" s="519"/>
      <c r="AA263" s="519"/>
      <c r="AB263" s="519"/>
      <c r="AC263" s="519"/>
    </row>
    <row r="264" spans="1:29" ht="14.4" customHeight="1">
      <c r="A264" s="519"/>
      <c r="B264" s="521"/>
      <c r="C264" s="519"/>
      <c r="D264" s="519"/>
      <c r="E264" s="519"/>
      <c r="F264" s="519"/>
      <c r="G264" s="519"/>
      <c r="H264" s="519"/>
      <c r="I264" s="519"/>
      <c r="J264" s="519"/>
      <c r="K264" s="519"/>
      <c r="L264" s="519"/>
      <c r="M264" s="519"/>
      <c r="N264" s="519"/>
      <c r="O264" s="519"/>
      <c r="P264" s="519"/>
      <c r="Q264" s="519"/>
      <c r="R264" s="519"/>
      <c r="S264" s="519"/>
      <c r="T264" s="519"/>
      <c r="U264" s="519"/>
      <c r="V264" s="519"/>
      <c r="W264" s="519"/>
      <c r="X264" s="519"/>
      <c r="Y264" s="519"/>
      <c r="Z264" s="519"/>
      <c r="AA264" s="519"/>
      <c r="AB264" s="519"/>
      <c r="AC264" s="519"/>
    </row>
    <row r="265" spans="1:29" ht="14.4" customHeight="1">
      <c r="A265" s="519"/>
      <c r="B265" s="521"/>
      <c r="C265" s="519"/>
      <c r="D265" s="519"/>
      <c r="E265" s="519"/>
      <c r="F265" s="519"/>
      <c r="G265" s="519"/>
      <c r="H265" s="519"/>
      <c r="I265" s="519"/>
      <c r="J265" s="519"/>
      <c r="K265" s="519"/>
      <c r="L265" s="519"/>
      <c r="M265" s="519"/>
      <c r="N265" s="519"/>
      <c r="O265" s="519"/>
      <c r="P265" s="519"/>
      <c r="Q265" s="519"/>
      <c r="R265" s="519"/>
      <c r="S265" s="519"/>
      <c r="T265" s="519"/>
      <c r="U265" s="519"/>
      <c r="V265" s="519"/>
      <c r="W265" s="519"/>
      <c r="X265" s="519"/>
      <c r="Y265" s="519"/>
      <c r="Z265" s="519"/>
      <c r="AA265" s="519"/>
      <c r="AB265" s="519"/>
      <c r="AC265" s="519"/>
    </row>
    <row r="266" spans="1:29" ht="14.4" customHeight="1">
      <c r="A266" s="519"/>
      <c r="B266" s="521"/>
      <c r="C266" s="519"/>
      <c r="D266" s="519"/>
      <c r="E266" s="519"/>
      <c r="F266" s="519"/>
      <c r="G266" s="519"/>
      <c r="H266" s="519"/>
      <c r="I266" s="519"/>
      <c r="J266" s="519"/>
      <c r="K266" s="519"/>
      <c r="L266" s="519"/>
      <c r="M266" s="519"/>
      <c r="N266" s="519"/>
      <c r="O266" s="519"/>
      <c r="P266" s="519"/>
      <c r="Q266" s="519"/>
      <c r="R266" s="519"/>
      <c r="S266" s="519"/>
      <c r="T266" s="519"/>
      <c r="U266" s="519"/>
      <c r="V266" s="519"/>
      <c r="W266" s="519"/>
      <c r="X266" s="519"/>
      <c r="Y266" s="519"/>
      <c r="Z266" s="519"/>
      <c r="AA266" s="519"/>
      <c r="AB266" s="519"/>
      <c r="AC266" s="519"/>
    </row>
    <row r="267" spans="1:29" ht="14.4" customHeight="1">
      <c r="A267" s="519"/>
      <c r="B267" s="521"/>
      <c r="C267" s="519"/>
      <c r="D267" s="519"/>
      <c r="E267" s="519"/>
      <c r="F267" s="519"/>
      <c r="G267" s="519"/>
      <c r="H267" s="519"/>
      <c r="I267" s="519"/>
      <c r="J267" s="519"/>
      <c r="K267" s="519"/>
      <c r="L267" s="519"/>
      <c r="M267" s="519"/>
      <c r="N267" s="519"/>
      <c r="O267" s="519"/>
      <c r="P267" s="519"/>
      <c r="Q267" s="519"/>
      <c r="R267" s="519"/>
      <c r="S267" s="519"/>
      <c r="T267" s="519"/>
      <c r="U267" s="519"/>
      <c r="V267" s="519"/>
      <c r="W267" s="519"/>
      <c r="X267" s="519"/>
      <c r="Y267" s="519"/>
      <c r="Z267" s="519"/>
      <c r="AA267" s="519"/>
      <c r="AB267" s="519"/>
      <c r="AC267" s="519"/>
    </row>
    <row r="268" spans="1:29" ht="14.4" customHeight="1">
      <c r="A268" s="519"/>
      <c r="B268" s="521"/>
      <c r="C268" s="519"/>
      <c r="D268" s="519"/>
      <c r="E268" s="519"/>
      <c r="F268" s="519"/>
      <c r="G268" s="519"/>
      <c r="H268" s="519"/>
      <c r="I268" s="519"/>
      <c r="J268" s="519"/>
      <c r="K268" s="519"/>
      <c r="L268" s="519"/>
      <c r="M268" s="519"/>
      <c r="N268" s="519"/>
      <c r="O268" s="519"/>
      <c r="P268" s="519"/>
      <c r="Q268" s="519"/>
      <c r="R268" s="519"/>
      <c r="S268" s="519"/>
      <c r="T268" s="519"/>
      <c r="U268" s="519"/>
      <c r="V268" s="519"/>
      <c r="W268" s="519"/>
      <c r="X268" s="519"/>
      <c r="Y268" s="519"/>
      <c r="Z268" s="519"/>
      <c r="AA268" s="519"/>
      <c r="AB268" s="519"/>
      <c r="AC268" s="519"/>
    </row>
    <row r="269" spans="1:29" ht="14.4" customHeight="1">
      <c r="A269" s="519"/>
      <c r="B269" s="521"/>
      <c r="C269" s="519"/>
      <c r="D269" s="519"/>
      <c r="E269" s="519"/>
      <c r="F269" s="519"/>
      <c r="G269" s="519"/>
      <c r="H269" s="519"/>
      <c r="I269" s="519"/>
      <c r="J269" s="519"/>
      <c r="K269" s="519"/>
      <c r="L269" s="519"/>
      <c r="M269" s="519"/>
      <c r="N269" s="519"/>
      <c r="O269" s="519"/>
      <c r="P269" s="519"/>
      <c r="Q269" s="519"/>
      <c r="R269" s="519"/>
      <c r="S269" s="519"/>
      <c r="T269" s="519"/>
      <c r="U269" s="519"/>
      <c r="V269" s="519"/>
      <c r="W269" s="519"/>
      <c r="X269" s="519"/>
      <c r="Y269" s="519"/>
      <c r="Z269" s="519"/>
      <c r="AA269" s="519"/>
      <c r="AB269" s="519"/>
      <c r="AC269" s="519"/>
    </row>
    <row r="270" spans="1:29" ht="14.4" customHeight="1">
      <c r="A270" s="519"/>
      <c r="B270" s="521"/>
      <c r="C270" s="519"/>
      <c r="D270" s="519"/>
      <c r="E270" s="519"/>
      <c r="F270" s="519"/>
      <c r="G270" s="519"/>
      <c r="H270" s="519"/>
      <c r="I270" s="519"/>
      <c r="J270" s="519"/>
      <c r="K270" s="519"/>
      <c r="L270" s="519"/>
      <c r="M270" s="519"/>
      <c r="N270" s="519"/>
      <c r="O270" s="519"/>
      <c r="P270" s="519"/>
      <c r="Q270" s="519"/>
      <c r="R270" s="519"/>
      <c r="S270" s="519"/>
      <c r="T270" s="519"/>
      <c r="U270" s="519"/>
      <c r="V270" s="519"/>
      <c r="W270" s="519"/>
      <c r="X270" s="519"/>
      <c r="Y270" s="519"/>
      <c r="Z270" s="519"/>
      <c r="AA270" s="519"/>
      <c r="AB270" s="519"/>
      <c r="AC270" s="519"/>
    </row>
    <row r="271" spans="1:29" ht="14.4" customHeight="1">
      <c r="A271" s="519"/>
      <c r="B271" s="521"/>
      <c r="C271" s="519"/>
      <c r="D271" s="519"/>
      <c r="E271" s="519"/>
      <c r="F271" s="519"/>
      <c r="G271" s="519"/>
      <c r="H271" s="519"/>
      <c r="I271" s="519"/>
      <c r="J271" s="519"/>
      <c r="K271" s="519"/>
      <c r="L271" s="519"/>
      <c r="M271" s="519"/>
      <c r="N271" s="519"/>
      <c r="O271" s="519"/>
      <c r="P271" s="519"/>
      <c r="Q271" s="519"/>
      <c r="R271" s="519"/>
      <c r="S271" s="519"/>
      <c r="T271" s="519"/>
      <c r="U271" s="519"/>
      <c r="V271" s="519"/>
      <c r="W271" s="519"/>
      <c r="X271" s="519"/>
      <c r="Y271" s="519"/>
      <c r="Z271" s="519"/>
      <c r="AA271" s="519"/>
      <c r="AB271" s="519"/>
      <c r="AC271" s="519"/>
    </row>
    <row r="272" spans="1:29" ht="14.4" customHeight="1">
      <c r="A272" s="519"/>
      <c r="B272" s="521"/>
      <c r="C272" s="519"/>
      <c r="D272" s="519"/>
      <c r="E272" s="519"/>
      <c r="F272" s="519"/>
      <c r="G272" s="519"/>
      <c r="H272" s="519"/>
      <c r="I272" s="519"/>
      <c r="J272" s="519"/>
      <c r="K272" s="519"/>
      <c r="L272" s="519"/>
      <c r="M272" s="519"/>
      <c r="N272" s="519"/>
      <c r="O272" s="519"/>
      <c r="P272" s="519"/>
      <c r="Q272" s="519"/>
      <c r="R272" s="519"/>
      <c r="S272" s="519"/>
      <c r="T272" s="519"/>
      <c r="U272" s="519"/>
      <c r="V272" s="519"/>
      <c r="W272" s="519"/>
      <c r="X272" s="519"/>
      <c r="Y272" s="519"/>
      <c r="Z272" s="519"/>
      <c r="AA272" s="519"/>
      <c r="AB272" s="519"/>
      <c r="AC272" s="519"/>
    </row>
    <row r="273" spans="1:29" ht="14.4" customHeight="1">
      <c r="A273" s="519"/>
      <c r="B273" s="521"/>
      <c r="C273" s="519"/>
      <c r="D273" s="519"/>
      <c r="E273" s="519"/>
      <c r="F273" s="519"/>
      <c r="G273" s="519"/>
      <c r="H273" s="519"/>
      <c r="I273" s="519"/>
      <c r="J273" s="519"/>
      <c r="K273" s="519"/>
      <c r="L273" s="519"/>
      <c r="M273" s="519"/>
      <c r="N273" s="519"/>
      <c r="O273" s="519"/>
      <c r="P273" s="519"/>
      <c r="Q273" s="519"/>
      <c r="R273" s="519"/>
      <c r="S273" s="519"/>
      <c r="T273" s="519"/>
      <c r="U273" s="519"/>
      <c r="V273" s="519"/>
      <c r="W273" s="519"/>
      <c r="X273" s="519"/>
      <c r="Y273" s="519"/>
      <c r="Z273" s="519"/>
      <c r="AA273" s="519"/>
      <c r="AB273" s="519"/>
      <c r="AC273" s="519"/>
    </row>
    <row r="274" spans="1:29" ht="14.4" customHeight="1">
      <c r="A274" s="519"/>
      <c r="B274" s="521"/>
      <c r="C274" s="519"/>
      <c r="D274" s="519"/>
      <c r="E274" s="519"/>
      <c r="F274" s="519"/>
      <c r="G274" s="519"/>
      <c r="H274" s="519"/>
      <c r="I274" s="519"/>
      <c r="J274" s="519"/>
      <c r="K274" s="519"/>
      <c r="L274" s="519"/>
      <c r="M274" s="519"/>
      <c r="N274" s="519"/>
      <c r="O274" s="519"/>
      <c r="P274" s="519"/>
      <c r="Q274" s="519"/>
      <c r="R274" s="519"/>
      <c r="S274" s="519"/>
      <c r="T274" s="519"/>
      <c r="U274" s="519"/>
      <c r="V274" s="519"/>
      <c r="W274" s="519"/>
      <c r="X274" s="519"/>
      <c r="Y274" s="519"/>
      <c r="Z274" s="519"/>
      <c r="AA274" s="519"/>
      <c r="AB274" s="519"/>
      <c r="AC274" s="519"/>
    </row>
    <row r="275" spans="1:29" ht="14.4" customHeight="1">
      <c r="A275" s="519"/>
      <c r="B275" s="521"/>
      <c r="C275" s="519"/>
      <c r="D275" s="519"/>
      <c r="E275" s="519"/>
      <c r="F275" s="519"/>
      <c r="G275" s="519"/>
      <c r="H275" s="519"/>
      <c r="I275" s="519"/>
      <c r="J275" s="519"/>
      <c r="K275" s="519"/>
      <c r="L275" s="519"/>
      <c r="M275" s="519"/>
      <c r="N275" s="519"/>
      <c r="O275" s="519"/>
      <c r="P275" s="519"/>
      <c r="Q275" s="519"/>
      <c r="R275" s="519"/>
      <c r="S275" s="519"/>
      <c r="T275" s="519"/>
      <c r="U275" s="519"/>
      <c r="V275" s="519"/>
      <c r="W275" s="519"/>
      <c r="X275" s="519"/>
      <c r="Y275" s="519"/>
      <c r="Z275" s="519"/>
      <c r="AA275" s="519"/>
      <c r="AB275" s="519"/>
      <c r="AC275" s="519"/>
    </row>
    <row r="276" spans="1:29" ht="14.4" customHeight="1">
      <c r="A276" s="519"/>
      <c r="B276" s="521"/>
      <c r="C276" s="519"/>
      <c r="D276" s="519"/>
      <c r="E276" s="519"/>
      <c r="F276" s="519"/>
      <c r="G276" s="519"/>
      <c r="H276" s="519"/>
      <c r="I276" s="519"/>
      <c r="J276" s="519"/>
      <c r="K276" s="519"/>
      <c r="L276" s="519"/>
      <c r="M276" s="519"/>
      <c r="N276" s="519"/>
      <c r="O276" s="519"/>
      <c r="P276" s="519"/>
      <c r="Q276" s="519"/>
      <c r="R276" s="519"/>
      <c r="S276" s="519"/>
      <c r="T276" s="519"/>
      <c r="U276" s="519"/>
      <c r="V276" s="519"/>
      <c r="W276" s="519"/>
      <c r="X276" s="519"/>
      <c r="Y276" s="519"/>
      <c r="Z276" s="519"/>
      <c r="AA276" s="519"/>
      <c r="AB276" s="519"/>
      <c r="AC276" s="519"/>
    </row>
    <row r="277" spans="1:29" ht="14.4" customHeight="1">
      <c r="A277" s="519"/>
      <c r="B277" s="521"/>
      <c r="C277" s="519"/>
      <c r="D277" s="519"/>
      <c r="E277" s="519"/>
      <c r="F277" s="519"/>
      <c r="G277" s="519"/>
      <c r="H277" s="519"/>
      <c r="I277" s="519"/>
      <c r="J277" s="519"/>
      <c r="K277" s="519"/>
      <c r="L277" s="519"/>
      <c r="M277" s="519"/>
      <c r="N277" s="519"/>
      <c r="O277" s="519"/>
      <c r="P277" s="519"/>
      <c r="Q277" s="519"/>
      <c r="R277" s="519"/>
      <c r="S277" s="519"/>
      <c r="T277" s="519"/>
      <c r="U277" s="519"/>
      <c r="V277" s="519"/>
      <c r="W277" s="519"/>
      <c r="X277" s="519"/>
      <c r="Y277" s="519"/>
      <c r="Z277" s="519"/>
      <c r="AA277" s="519"/>
      <c r="AB277" s="519"/>
      <c r="AC277" s="519"/>
    </row>
    <row r="278" spans="1:29" ht="14.4" customHeight="1">
      <c r="A278" s="519"/>
      <c r="B278" s="521"/>
      <c r="C278" s="519"/>
      <c r="D278" s="519"/>
      <c r="E278" s="519"/>
      <c r="F278" s="519"/>
      <c r="G278" s="519"/>
      <c r="H278" s="519"/>
      <c r="I278" s="519"/>
      <c r="J278" s="519"/>
      <c r="K278" s="519"/>
      <c r="L278" s="519"/>
      <c r="M278" s="519"/>
      <c r="N278" s="519"/>
      <c r="O278" s="519"/>
      <c r="P278" s="519"/>
      <c r="Q278" s="519"/>
      <c r="R278" s="519"/>
      <c r="S278" s="519"/>
      <c r="T278" s="519"/>
      <c r="U278" s="519"/>
      <c r="V278" s="519"/>
      <c r="W278" s="519"/>
      <c r="X278" s="519"/>
      <c r="Y278" s="519"/>
      <c r="Z278" s="519"/>
      <c r="AA278" s="519"/>
      <c r="AB278" s="519"/>
      <c r="AC278" s="519"/>
    </row>
    <row r="279" spans="1:29" ht="14.4" customHeight="1">
      <c r="A279" s="519"/>
      <c r="B279" s="521"/>
      <c r="C279" s="519"/>
      <c r="D279" s="519"/>
      <c r="E279" s="519"/>
      <c r="F279" s="519"/>
      <c r="G279" s="519"/>
      <c r="H279" s="519"/>
      <c r="I279" s="519"/>
      <c r="J279" s="519"/>
      <c r="K279" s="519"/>
      <c r="L279" s="519"/>
      <c r="M279" s="519"/>
      <c r="N279" s="519"/>
      <c r="O279" s="519"/>
      <c r="P279" s="519"/>
      <c r="Q279" s="519"/>
      <c r="R279" s="519"/>
      <c r="S279" s="519"/>
      <c r="T279" s="519"/>
      <c r="U279" s="519"/>
      <c r="V279" s="519"/>
      <c r="W279" s="519"/>
      <c r="X279" s="519"/>
      <c r="Y279" s="519"/>
      <c r="Z279" s="519"/>
      <c r="AA279" s="519"/>
      <c r="AB279" s="519"/>
      <c r="AC279" s="519"/>
    </row>
    <row r="280" spans="1:29" ht="14.4" customHeight="1">
      <c r="A280" s="519"/>
      <c r="B280" s="521"/>
      <c r="C280" s="519"/>
      <c r="D280" s="519"/>
      <c r="E280" s="519"/>
      <c r="F280" s="519"/>
      <c r="G280" s="519"/>
      <c r="H280" s="519"/>
      <c r="I280" s="519"/>
      <c r="J280" s="519"/>
      <c r="K280" s="519"/>
      <c r="L280" s="519"/>
      <c r="M280" s="519"/>
      <c r="N280" s="519"/>
      <c r="O280" s="519"/>
      <c r="P280" s="519"/>
      <c r="Q280" s="519"/>
      <c r="R280" s="519"/>
      <c r="S280" s="519"/>
      <c r="T280" s="519"/>
      <c r="U280" s="519"/>
      <c r="V280" s="519"/>
      <c r="W280" s="519"/>
      <c r="X280" s="519"/>
      <c r="Y280" s="519"/>
      <c r="Z280" s="519"/>
      <c r="AA280" s="519"/>
      <c r="AB280" s="519"/>
      <c r="AC280" s="519"/>
    </row>
    <row r="281" spans="1:29" ht="14.4" customHeight="1">
      <c r="A281" s="519"/>
      <c r="B281" s="521"/>
      <c r="C281" s="519"/>
      <c r="D281" s="519"/>
      <c r="E281" s="519"/>
      <c r="F281" s="519"/>
      <c r="G281" s="519"/>
      <c r="H281" s="519"/>
      <c r="I281" s="519"/>
      <c r="J281" s="519"/>
      <c r="K281" s="519"/>
      <c r="L281" s="519"/>
      <c r="M281" s="519"/>
      <c r="N281" s="519"/>
      <c r="O281" s="519"/>
      <c r="P281" s="519"/>
      <c r="Q281" s="519"/>
      <c r="R281" s="519"/>
      <c r="S281" s="519"/>
      <c r="T281" s="519"/>
      <c r="U281" s="519"/>
      <c r="V281" s="519"/>
      <c r="W281" s="519"/>
      <c r="X281" s="519"/>
      <c r="Y281" s="519"/>
      <c r="Z281" s="519"/>
      <c r="AA281" s="519"/>
      <c r="AB281" s="519"/>
      <c r="AC281" s="519"/>
    </row>
    <row r="282" spans="1:29" ht="14.4" customHeight="1">
      <c r="A282" s="519"/>
      <c r="B282" s="521"/>
      <c r="C282" s="519"/>
      <c r="D282" s="519"/>
      <c r="E282" s="519"/>
      <c r="F282" s="519"/>
      <c r="G282" s="519"/>
      <c r="H282" s="519"/>
      <c r="I282" s="519"/>
      <c r="J282" s="519"/>
      <c r="K282" s="519"/>
      <c r="L282" s="519"/>
      <c r="M282" s="519"/>
      <c r="N282" s="519"/>
      <c r="O282" s="519"/>
      <c r="P282" s="519"/>
      <c r="Q282" s="519"/>
      <c r="R282" s="519"/>
      <c r="S282" s="519"/>
      <c r="T282" s="519"/>
      <c r="U282" s="519"/>
      <c r="V282" s="519"/>
      <c r="W282" s="519"/>
      <c r="X282" s="519"/>
      <c r="Y282" s="519"/>
      <c r="Z282" s="519"/>
      <c r="AA282" s="519"/>
      <c r="AB282" s="519"/>
      <c r="AC282" s="519"/>
    </row>
    <row r="283" spans="1:29" ht="14.4" customHeight="1">
      <c r="A283" s="519"/>
      <c r="B283" s="521"/>
      <c r="C283" s="519"/>
      <c r="D283" s="519"/>
      <c r="E283" s="519"/>
      <c r="F283" s="519"/>
      <c r="G283" s="519"/>
      <c r="H283" s="519"/>
      <c r="I283" s="519"/>
      <c r="J283" s="519"/>
      <c r="K283" s="519"/>
      <c r="L283" s="519"/>
      <c r="M283" s="519"/>
      <c r="N283" s="519"/>
      <c r="O283" s="519"/>
      <c r="P283" s="519"/>
      <c r="Q283" s="519"/>
      <c r="R283" s="519"/>
      <c r="S283" s="519"/>
      <c r="T283" s="519"/>
      <c r="U283" s="519"/>
      <c r="V283" s="519"/>
      <c r="W283" s="519"/>
      <c r="X283" s="519"/>
      <c r="Y283" s="519"/>
      <c r="Z283" s="519"/>
      <c r="AA283" s="519"/>
      <c r="AB283" s="519"/>
      <c r="AC283" s="519"/>
    </row>
    <row r="284" spans="1:29" ht="14.4" customHeight="1">
      <c r="A284" s="519"/>
      <c r="B284" s="521"/>
      <c r="C284" s="519"/>
      <c r="D284" s="519"/>
      <c r="E284" s="519"/>
      <c r="F284" s="519"/>
      <c r="G284" s="519"/>
      <c r="H284" s="519"/>
      <c r="I284" s="519"/>
      <c r="J284" s="519"/>
      <c r="K284" s="519"/>
      <c r="L284" s="519"/>
      <c r="M284" s="519"/>
      <c r="N284" s="519"/>
      <c r="O284" s="519"/>
      <c r="P284" s="519"/>
      <c r="Q284" s="519"/>
      <c r="R284" s="519"/>
      <c r="S284" s="519"/>
      <c r="T284" s="519"/>
      <c r="U284" s="519"/>
      <c r="V284" s="519"/>
      <c r="W284" s="519"/>
      <c r="X284" s="519"/>
      <c r="Y284" s="519"/>
      <c r="Z284" s="519"/>
      <c r="AA284" s="519"/>
      <c r="AB284" s="519"/>
      <c r="AC284" s="519"/>
    </row>
    <row r="285" spans="1:29" ht="14.4" customHeight="1">
      <c r="A285" s="519"/>
      <c r="B285" s="521"/>
      <c r="C285" s="519"/>
      <c r="D285" s="519"/>
      <c r="E285" s="519"/>
      <c r="F285" s="519"/>
      <c r="G285" s="519"/>
      <c r="H285" s="519"/>
      <c r="I285" s="519"/>
      <c r="J285" s="519"/>
      <c r="K285" s="519"/>
      <c r="L285" s="519"/>
      <c r="M285" s="519"/>
      <c r="N285" s="519"/>
      <c r="O285" s="519"/>
      <c r="P285" s="519"/>
      <c r="Q285" s="519"/>
      <c r="R285" s="519"/>
      <c r="S285" s="519"/>
      <c r="T285" s="519"/>
      <c r="U285" s="519"/>
      <c r="V285" s="519"/>
      <c r="W285" s="519"/>
      <c r="X285" s="519"/>
      <c r="Y285" s="519"/>
      <c r="Z285" s="519"/>
      <c r="AA285" s="519"/>
      <c r="AB285" s="519"/>
      <c r="AC285" s="519"/>
    </row>
    <row r="286" spans="1:29" ht="14.4" customHeight="1">
      <c r="A286" s="519"/>
      <c r="B286" s="521"/>
      <c r="C286" s="519"/>
      <c r="D286" s="519"/>
      <c r="E286" s="519"/>
      <c r="F286" s="519"/>
      <c r="G286" s="519"/>
      <c r="H286" s="519"/>
      <c r="I286" s="519"/>
      <c r="J286" s="519"/>
      <c r="K286" s="519"/>
      <c r="L286" s="519"/>
      <c r="M286" s="519"/>
      <c r="N286" s="519"/>
      <c r="O286" s="519"/>
      <c r="P286" s="519"/>
      <c r="Q286" s="519"/>
      <c r="R286" s="519"/>
      <c r="S286" s="519"/>
      <c r="T286" s="519"/>
      <c r="U286" s="519"/>
      <c r="V286" s="519"/>
      <c r="W286" s="519"/>
      <c r="X286" s="519"/>
      <c r="Y286" s="519"/>
      <c r="Z286" s="519"/>
      <c r="AA286" s="519"/>
      <c r="AB286" s="519"/>
      <c r="AC286" s="519"/>
    </row>
    <row r="287" spans="1:29" ht="14.4" customHeight="1">
      <c r="A287" s="519"/>
      <c r="B287" s="521"/>
      <c r="C287" s="519"/>
      <c r="D287" s="519"/>
      <c r="E287" s="519"/>
      <c r="F287" s="519"/>
      <c r="G287" s="519"/>
      <c r="H287" s="519"/>
      <c r="I287" s="519"/>
      <c r="J287" s="519"/>
      <c r="K287" s="519"/>
      <c r="L287" s="519"/>
      <c r="M287" s="519"/>
      <c r="N287" s="519"/>
      <c r="O287" s="519"/>
      <c r="P287" s="519"/>
      <c r="Q287" s="519"/>
      <c r="R287" s="519"/>
      <c r="S287" s="519"/>
      <c r="T287" s="519"/>
      <c r="U287" s="519"/>
      <c r="V287" s="519"/>
      <c r="W287" s="519"/>
      <c r="X287" s="519"/>
      <c r="Y287" s="519"/>
      <c r="Z287" s="519"/>
      <c r="AA287" s="519"/>
      <c r="AB287" s="519"/>
      <c r="AC287" s="519"/>
    </row>
    <row r="288" spans="1:29" ht="14.4" customHeight="1">
      <c r="A288" s="519"/>
      <c r="B288" s="521"/>
      <c r="C288" s="519"/>
      <c r="D288" s="519"/>
      <c r="E288" s="519"/>
      <c r="F288" s="519"/>
      <c r="G288" s="519"/>
      <c r="H288" s="519"/>
      <c r="I288" s="519"/>
      <c r="J288" s="519"/>
      <c r="K288" s="519"/>
      <c r="L288" s="519"/>
      <c r="M288" s="519"/>
      <c r="N288" s="519"/>
      <c r="O288" s="519"/>
      <c r="P288" s="519"/>
      <c r="Q288" s="519"/>
      <c r="R288" s="519"/>
      <c r="S288" s="519"/>
      <c r="T288" s="519"/>
      <c r="U288" s="519"/>
      <c r="V288" s="519"/>
      <c r="W288" s="519"/>
      <c r="X288" s="519"/>
      <c r="Y288" s="519"/>
      <c r="Z288" s="519"/>
      <c r="AA288" s="519"/>
      <c r="AB288" s="519"/>
      <c r="AC288" s="519"/>
    </row>
    <row r="289" spans="1:29" ht="14.4" customHeight="1">
      <c r="A289" s="519"/>
      <c r="B289" s="521"/>
      <c r="C289" s="519"/>
      <c r="D289" s="519"/>
      <c r="E289" s="519"/>
      <c r="F289" s="519"/>
      <c r="G289" s="519"/>
      <c r="H289" s="519"/>
      <c r="I289" s="519"/>
      <c r="J289" s="519"/>
      <c r="K289" s="519"/>
      <c r="L289" s="519"/>
      <c r="M289" s="519"/>
      <c r="N289" s="519"/>
      <c r="O289" s="519"/>
      <c r="P289" s="519"/>
      <c r="Q289" s="519"/>
      <c r="R289" s="519"/>
      <c r="S289" s="519"/>
      <c r="T289" s="519"/>
      <c r="U289" s="519"/>
      <c r="V289" s="519"/>
      <c r="W289" s="519"/>
      <c r="X289" s="519"/>
      <c r="Y289" s="519"/>
      <c r="Z289" s="519"/>
      <c r="AA289" s="519"/>
      <c r="AB289" s="519"/>
      <c r="AC289" s="519"/>
    </row>
    <row r="290" spans="1:29" ht="14.4" customHeight="1">
      <c r="A290" s="519"/>
      <c r="B290" s="521"/>
      <c r="C290" s="519"/>
      <c r="D290" s="519"/>
      <c r="E290" s="519"/>
      <c r="F290" s="519"/>
      <c r="G290" s="519"/>
      <c r="H290" s="519"/>
      <c r="I290" s="519"/>
      <c r="J290" s="519"/>
      <c r="K290" s="519"/>
      <c r="L290" s="519"/>
      <c r="M290" s="519"/>
      <c r="N290" s="519"/>
      <c r="O290" s="519"/>
      <c r="P290" s="519"/>
      <c r="Q290" s="519"/>
      <c r="R290" s="519"/>
      <c r="S290" s="519"/>
      <c r="T290" s="519"/>
      <c r="U290" s="519"/>
      <c r="V290" s="519"/>
      <c r="W290" s="519"/>
      <c r="X290" s="519"/>
      <c r="Y290" s="519"/>
      <c r="Z290" s="519"/>
      <c r="AA290" s="519"/>
      <c r="AB290" s="519"/>
      <c r="AC290" s="519"/>
    </row>
    <row r="291" spans="1:29" ht="14.4" customHeight="1">
      <c r="A291" s="519"/>
      <c r="B291" s="521"/>
      <c r="C291" s="519"/>
      <c r="D291" s="519"/>
      <c r="E291" s="519"/>
      <c r="F291" s="519"/>
      <c r="G291" s="519"/>
      <c r="H291" s="519"/>
      <c r="I291" s="519"/>
      <c r="J291" s="519"/>
      <c r="K291" s="519"/>
      <c r="L291" s="519"/>
      <c r="M291" s="519"/>
      <c r="N291" s="519"/>
      <c r="O291" s="519"/>
      <c r="P291" s="519"/>
      <c r="Q291" s="519"/>
      <c r="R291" s="519"/>
      <c r="S291" s="519"/>
      <c r="T291" s="519"/>
      <c r="U291" s="519"/>
      <c r="V291" s="519"/>
      <c r="W291" s="519"/>
      <c r="X291" s="519"/>
      <c r="Y291" s="519"/>
      <c r="Z291" s="519"/>
      <c r="AA291" s="519"/>
      <c r="AB291" s="519"/>
      <c r="AC291" s="519"/>
    </row>
    <row r="292" spans="1:29" ht="14.4" customHeight="1">
      <c r="A292" s="519"/>
      <c r="B292" s="521"/>
      <c r="C292" s="519"/>
      <c r="D292" s="519"/>
      <c r="E292" s="519"/>
      <c r="F292" s="519"/>
      <c r="G292" s="519"/>
      <c r="H292" s="519"/>
      <c r="I292" s="519"/>
      <c r="J292" s="519"/>
      <c r="K292" s="519"/>
      <c r="L292" s="519"/>
      <c r="M292" s="519"/>
      <c r="N292" s="519"/>
      <c r="O292" s="519"/>
      <c r="P292" s="519"/>
      <c r="Q292" s="519"/>
      <c r="R292" s="519"/>
      <c r="S292" s="519"/>
      <c r="T292" s="519"/>
      <c r="U292" s="519"/>
      <c r="V292" s="519"/>
      <c r="W292" s="519"/>
      <c r="X292" s="519"/>
      <c r="Y292" s="519"/>
      <c r="Z292" s="519"/>
      <c r="AA292" s="519"/>
      <c r="AB292" s="519"/>
      <c r="AC292" s="519"/>
    </row>
    <row r="293" spans="1:29" ht="14.4" customHeight="1">
      <c r="A293" s="519"/>
      <c r="B293" s="521"/>
      <c r="C293" s="519"/>
      <c r="D293" s="519"/>
      <c r="E293" s="519"/>
      <c r="F293" s="519"/>
      <c r="G293" s="519"/>
      <c r="H293" s="519"/>
      <c r="I293" s="519"/>
      <c r="J293" s="519"/>
      <c r="K293" s="519"/>
      <c r="L293" s="519"/>
      <c r="M293" s="519"/>
      <c r="N293" s="519"/>
      <c r="O293" s="519"/>
      <c r="P293" s="519"/>
      <c r="Q293" s="519"/>
      <c r="R293" s="519"/>
      <c r="S293" s="519"/>
      <c r="T293" s="519"/>
      <c r="U293" s="519"/>
      <c r="V293" s="519"/>
      <c r="W293" s="519"/>
      <c r="X293" s="519"/>
      <c r="Y293" s="519"/>
      <c r="Z293" s="519"/>
      <c r="AA293" s="519"/>
      <c r="AB293" s="519"/>
      <c r="AC293" s="519"/>
    </row>
    <row r="294" spans="1:29" ht="14.4" customHeight="1">
      <c r="A294" s="519"/>
      <c r="B294" s="521"/>
      <c r="C294" s="519"/>
      <c r="D294" s="519"/>
      <c r="E294" s="519"/>
      <c r="F294" s="519"/>
      <c r="G294" s="519"/>
      <c r="H294" s="519"/>
      <c r="I294" s="519"/>
      <c r="J294" s="519"/>
      <c r="K294" s="519"/>
      <c r="L294" s="519"/>
      <c r="M294" s="519"/>
      <c r="N294" s="519"/>
      <c r="O294" s="519"/>
      <c r="P294" s="519"/>
      <c r="Q294" s="519"/>
      <c r="R294" s="519"/>
      <c r="S294" s="519"/>
      <c r="T294" s="519"/>
      <c r="U294" s="519"/>
      <c r="V294" s="519"/>
      <c r="W294" s="519"/>
      <c r="X294" s="519"/>
      <c r="Y294" s="519"/>
      <c r="Z294" s="519"/>
      <c r="AA294" s="519"/>
      <c r="AB294" s="519"/>
      <c r="AC294" s="519"/>
    </row>
    <row r="295" spans="1:29" ht="14.4" customHeight="1">
      <c r="A295" s="519"/>
      <c r="B295" s="521"/>
      <c r="C295" s="519"/>
      <c r="D295" s="519"/>
      <c r="E295" s="519"/>
      <c r="F295" s="519"/>
      <c r="G295" s="519"/>
      <c r="H295" s="519"/>
      <c r="I295" s="519"/>
      <c r="J295" s="519"/>
      <c r="K295" s="519"/>
      <c r="L295" s="519"/>
      <c r="M295" s="519"/>
      <c r="N295" s="519"/>
      <c r="O295" s="519"/>
      <c r="P295" s="519"/>
      <c r="Q295" s="519"/>
      <c r="R295" s="519"/>
      <c r="S295" s="519"/>
      <c r="T295" s="519"/>
      <c r="U295" s="519"/>
      <c r="V295" s="519"/>
      <c r="W295" s="519"/>
      <c r="X295" s="519"/>
      <c r="Y295" s="519"/>
      <c r="Z295" s="519"/>
      <c r="AA295" s="519"/>
      <c r="AB295" s="519"/>
      <c r="AC295" s="519"/>
    </row>
    <row r="296" spans="1:29" ht="14.4" customHeight="1">
      <c r="A296" s="519"/>
      <c r="B296" s="521"/>
      <c r="C296" s="519"/>
      <c r="D296" s="519"/>
      <c r="E296" s="519"/>
      <c r="F296" s="519"/>
      <c r="G296" s="519"/>
      <c r="H296" s="519"/>
      <c r="I296" s="519"/>
      <c r="J296" s="519"/>
      <c r="K296" s="519"/>
      <c r="L296" s="519"/>
      <c r="M296" s="519"/>
      <c r="N296" s="519"/>
      <c r="O296" s="519"/>
      <c r="P296" s="519"/>
      <c r="Q296" s="519"/>
      <c r="R296" s="519"/>
      <c r="S296" s="519"/>
      <c r="T296" s="519"/>
      <c r="U296" s="519"/>
      <c r="V296" s="519"/>
      <c r="W296" s="519"/>
      <c r="X296" s="519"/>
      <c r="Y296" s="519"/>
      <c r="Z296" s="519"/>
      <c r="AA296" s="519"/>
      <c r="AB296" s="519"/>
      <c r="AC296" s="519"/>
    </row>
    <row r="297" spans="1:29" ht="14.4" customHeight="1">
      <c r="A297" s="519"/>
      <c r="B297" s="521"/>
      <c r="C297" s="519"/>
      <c r="D297" s="519"/>
      <c r="E297" s="519"/>
      <c r="F297" s="519"/>
      <c r="G297" s="519"/>
      <c r="H297" s="519"/>
      <c r="I297" s="519"/>
      <c r="J297" s="519"/>
      <c r="K297" s="519"/>
      <c r="L297" s="519"/>
      <c r="M297" s="519"/>
      <c r="N297" s="519"/>
      <c r="O297" s="519"/>
      <c r="P297" s="519"/>
      <c r="Q297" s="519"/>
      <c r="R297" s="519"/>
      <c r="S297" s="519"/>
      <c r="T297" s="519"/>
      <c r="U297" s="519"/>
      <c r="V297" s="519"/>
      <c r="W297" s="519"/>
      <c r="X297" s="519"/>
      <c r="Y297" s="519"/>
      <c r="Z297" s="519"/>
      <c r="AA297" s="519"/>
      <c r="AB297" s="519"/>
      <c r="AC297" s="519"/>
    </row>
    <row r="298" spans="1:29" ht="14.4" customHeight="1">
      <c r="A298" s="519"/>
      <c r="B298" s="521"/>
      <c r="C298" s="519"/>
      <c r="D298" s="519"/>
      <c r="E298" s="519"/>
      <c r="F298" s="519"/>
      <c r="G298" s="519"/>
      <c r="H298" s="519"/>
      <c r="I298" s="519"/>
      <c r="J298" s="519"/>
      <c r="K298" s="519"/>
      <c r="L298" s="519"/>
      <c r="M298" s="519"/>
      <c r="N298" s="519"/>
      <c r="O298" s="519"/>
      <c r="P298" s="519"/>
      <c r="Q298" s="519"/>
      <c r="R298" s="519"/>
      <c r="S298" s="519"/>
      <c r="T298" s="519"/>
      <c r="U298" s="519"/>
      <c r="V298" s="519"/>
      <c r="W298" s="519"/>
      <c r="X298" s="519"/>
      <c r="Y298" s="519"/>
      <c r="Z298" s="519"/>
      <c r="AA298" s="519"/>
      <c r="AB298" s="519"/>
      <c r="AC298" s="519"/>
    </row>
    <row r="299" spans="1:29" ht="14.4" customHeight="1">
      <c r="A299" s="519"/>
      <c r="B299" s="521"/>
      <c r="C299" s="519"/>
      <c r="D299" s="519"/>
      <c r="E299" s="519"/>
      <c r="F299" s="519"/>
      <c r="G299" s="519"/>
      <c r="H299" s="519"/>
      <c r="I299" s="519"/>
      <c r="J299" s="519"/>
      <c r="K299" s="519"/>
      <c r="L299" s="519"/>
      <c r="M299" s="519"/>
      <c r="N299" s="519"/>
      <c r="O299" s="519"/>
      <c r="P299" s="519"/>
      <c r="Q299" s="519"/>
      <c r="R299" s="519"/>
      <c r="S299" s="519"/>
      <c r="T299" s="519"/>
      <c r="U299" s="519"/>
      <c r="V299" s="519"/>
      <c r="W299" s="519"/>
      <c r="X299" s="519"/>
      <c r="Y299" s="519"/>
      <c r="Z299" s="519"/>
      <c r="AA299" s="519"/>
      <c r="AB299" s="519"/>
      <c r="AC299" s="519"/>
    </row>
    <row r="300" spans="1:29" ht="14.4" customHeight="1">
      <c r="A300" s="519"/>
      <c r="B300" s="521"/>
      <c r="C300" s="519"/>
      <c r="D300" s="519"/>
      <c r="E300" s="519"/>
      <c r="F300" s="519"/>
      <c r="G300" s="519"/>
      <c r="H300" s="519"/>
      <c r="I300" s="519"/>
      <c r="J300" s="519"/>
      <c r="K300" s="519"/>
      <c r="L300" s="519"/>
      <c r="M300" s="519"/>
      <c r="N300" s="519"/>
      <c r="O300" s="519"/>
      <c r="P300" s="519"/>
      <c r="Q300" s="519"/>
      <c r="R300" s="519"/>
      <c r="S300" s="519"/>
      <c r="T300" s="519"/>
      <c r="U300" s="519"/>
      <c r="V300" s="519"/>
      <c r="W300" s="519"/>
      <c r="X300" s="519"/>
      <c r="Y300" s="519"/>
      <c r="Z300" s="519"/>
      <c r="AA300" s="519"/>
      <c r="AB300" s="519"/>
      <c r="AC300" s="519"/>
    </row>
    <row r="301" spans="1:29" ht="14.4" customHeight="1">
      <c r="A301" s="519"/>
      <c r="B301" s="521"/>
      <c r="C301" s="519"/>
      <c r="D301" s="519"/>
      <c r="E301" s="519"/>
      <c r="F301" s="519"/>
      <c r="G301" s="519"/>
      <c r="H301" s="519"/>
      <c r="I301" s="519"/>
      <c r="J301" s="519"/>
      <c r="K301" s="519"/>
      <c r="L301" s="519"/>
      <c r="M301" s="519"/>
      <c r="N301" s="519"/>
      <c r="O301" s="519"/>
      <c r="P301" s="519"/>
      <c r="Q301" s="519"/>
      <c r="R301" s="519"/>
      <c r="S301" s="519"/>
      <c r="T301" s="519"/>
      <c r="U301" s="519"/>
      <c r="V301" s="519"/>
      <c r="W301" s="519"/>
      <c r="X301" s="519"/>
      <c r="Y301" s="519"/>
      <c r="Z301" s="519"/>
      <c r="AA301" s="519"/>
      <c r="AB301" s="519"/>
      <c r="AC301" s="519"/>
    </row>
    <row r="302" spans="1:29" ht="14.4" customHeight="1">
      <c r="A302" s="519"/>
      <c r="B302" s="521"/>
      <c r="C302" s="519"/>
      <c r="D302" s="519"/>
      <c r="E302" s="519"/>
      <c r="F302" s="519"/>
      <c r="G302" s="519"/>
      <c r="H302" s="519"/>
      <c r="I302" s="519"/>
      <c r="J302" s="519"/>
      <c r="K302" s="519"/>
      <c r="L302" s="519"/>
      <c r="M302" s="519"/>
      <c r="N302" s="519"/>
      <c r="O302" s="519"/>
      <c r="P302" s="519"/>
      <c r="Q302" s="519"/>
      <c r="R302" s="519"/>
      <c r="S302" s="519"/>
      <c r="T302" s="519"/>
      <c r="U302" s="519"/>
      <c r="V302" s="519"/>
      <c r="W302" s="519"/>
      <c r="X302" s="519"/>
      <c r="Y302" s="519"/>
      <c r="Z302" s="519"/>
      <c r="AA302" s="519"/>
      <c r="AB302" s="519"/>
      <c r="AC302" s="519"/>
    </row>
    <row r="303" spans="1:29" ht="14.4" customHeight="1">
      <c r="A303" s="519"/>
      <c r="B303" s="521"/>
      <c r="C303" s="519"/>
      <c r="D303" s="519"/>
      <c r="E303" s="519"/>
      <c r="F303" s="519"/>
      <c r="G303" s="519"/>
      <c r="H303" s="519"/>
      <c r="I303" s="519"/>
      <c r="J303" s="519"/>
      <c r="K303" s="519"/>
      <c r="L303" s="519"/>
      <c r="M303" s="519"/>
      <c r="N303" s="519"/>
      <c r="O303" s="519"/>
      <c r="P303" s="519"/>
      <c r="Q303" s="519"/>
      <c r="R303" s="519"/>
      <c r="S303" s="519"/>
      <c r="T303" s="519"/>
      <c r="U303" s="519"/>
      <c r="V303" s="519"/>
      <c r="W303" s="519"/>
      <c r="X303" s="519"/>
      <c r="Y303" s="519"/>
      <c r="Z303" s="519"/>
      <c r="AA303" s="519"/>
      <c r="AB303" s="519"/>
      <c r="AC303" s="519"/>
    </row>
    <row r="304" spans="1:29" ht="14.4" customHeight="1">
      <c r="A304" s="519"/>
      <c r="B304" s="521"/>
      <c r="C304" s="519"/>
      <c r="D304" s="519"/>
      <c r="E304" s="519"/>
      <c r="F304" s="519"/>
      <c r="G304" s="519"/>
      <c r="H304" s="519"/>
      <c r="I304" s="519"/>
      <c r="J304" s="519"/>
      <c r="K304" s="519"/>
      <c r="L304" s="519"/>
      <c r="M304" s="519"/>
      <c r="N304" s="519"/>
      <c r="O304" s="519"/>
      <c r="P304" s="519"/>
      <c r="Q304" s="519"/>
      <c r="R304" s="519"/>
      <c r="S304" s="519"/>
      <c r="T304" s="519"/>
      <c r="U304" s="519"/>
      <c r="V304" s="519"/>
      <c r="W304" s="519"/>
      <c r="X304" s="519"/>
      <c r="Y304" s="519"/>
      <c r="Z304" s="519"/>
      <c r="AA304" s="519"/>
      <c r="AB304" s="519"/>
      <c r="AC304" s="519"/>
    </row>
    <row r="305" spans="1:29" ht="14.4" customHeight="1">
      <c r="A305" s="519"/>
      <c r="B305" s="521"/>
      <c r="C305" s="519"/>
      <c r="D305" s="519"/>
      <c r="E305" s="519"/>
      <c r="F305" s="519"/>
      <c r="G305" s="519"/>
      <c r="H305" s="519"/>
      <c r="I305" s="519"/>
      <c r="J305" s="519"/>
      <c r="K305" s="519"/>
      <c r="L305" s="519"/>
      <c r="M305" s="519"/>
      <c r="N305" s="519"/>
      <c r="O305" s="519"/>
      <c r="P305" s="519"/>
      <c r="Q305" s="519"/>
      <c r="R305" s="519"/>
      <c r="S305" s="519"/>
      <c r="T305" s="519"/>
      <c r="U305" s="519"/>
      <c r="V305" s="519"/>
      <c r="W305" s="519"/>
      <c r="X305" s="519"/>
      <c r="Y305" s="519"/>
      <c r="Z305" s="519"/>
      <c r="AA305" s="519"/>
      <c r="AB305" s="519"/>
      <c r="AC305" s="519"/>
    </row>
    <row r="306" spans="1:29" ht="14.4" customHeight="1">
      <c r="A306" s="519"/>
      <c r="B306" s="521"/>
      <c r="C306" s="519"/>
      <c r="D306" s="519"/>
      <c r="E306" s="519"/>
      <c r="F306" s="519"/>
      <c r="G306" s="519"/>
      <c r="H306" s="519"/>
      <c r="I306" s="519"/>
      <c r="J306" s="519"/>
      <c r="K306" s="519"/>
      <c r="L306" s="519"/>
      <c r="M306" s="519"/>
      <c r="N306" s="519"/>
      <c r="O306" s="519"/>
      <c r="P306" s="519"/>
      <c r="Q306" s="519"/>
      <c r="R306" s="519"/>
      <c r="S306" s="519"/>
      <c r="T306" s="519"/>
      <c r="U306" s="519"/>
      <c r="V306" s="519"/>
      <c r="W306" s="519"/>
      <c r="X306" s="519"/>
      <c r="Y306" s="519"/>
      <c r="Z306" s="519"/>
      <c r="AA306" s="519"/>
      <c r="AB306" s="519"/>
      <c r="AC306" s="519"/>
    </row>
    <row r="307" spans="1:29" ht="14.4" customHeight="1">
      <c r="A307" s="519"/>
      <c r="B307" s="521"/>
      <c r="C307" s="519"/>
      <c r="D307" s="519"/>
      <c r="E307" s="519"/>
      <c r="F307" s="519"/>
      <c r="G307" s="519"/>
      <c r="H307" s="519"/>
      <c r="I307" s="519"/>
      <c r="J307" s="519"/>
      <c r="K307" s="519"/>
      <c r="L307" s="519"/>
      <c r="M307" s="519"/>
      <c r="N307" s="519"/>
      <c r="O307" s="519"/>
      <c r="P307" s="519"/>
      <c r="Q307" s="519"/>
      <c r="R307" s="519"/>
      <c r="S307" s="519"/>
      <c r="T307" s="519"/>
      <c r="U307" s="519"/>
      <c r="V307" s="519"/>
      <c r="W307" s="519"/>
      <c r="X307" s="519"/>
      <c r="Y307" s="519"/>
      <c r="Z307" s="519"/>
      <c r="AA307" s="519"/>
      <c r="AB307" s="519"/>
      <c r="AC307" s="519"/>
    </row>
    <row r="308" spans="1:29" ht="14.4" customHeight="1">
      <c r="A308" s="519"/>
      <c r="B308" s="521"/>
      <c r="C308" s="519"/>
      <c r="D308" s="519"/>
      <c r="E308" s="519"/>
      <c r="F308" s="519"/>
      <c r="G308" s="519"/>
      <c r="H308" s="519"/>
      <c r="I308" s="519"/>
      <c r="J308" s="519"/>
      <c r="K308" s="519"/>
      <c r="L308" s="519"/>
      <c r="M308" s="519"/>
      <c r="N308" s="519"/>
      <c r="O308" s="519"/>
      <c r="P308" s="519"/>
      <c r="Q308" s="519"/>
      <c r="R308" s="519"/>
      <c r="S308" s="519"/>
      <c r="T308" s="519"/>
      <c r="U308" s="519"/>
      <c r="V308" s="519"/>
      <c r="W308" s="519"/>
      <c r="X308" s="519"/>
      <c r="Y308" s="519"/>
      <c r="Z308" s="519"/>
      <c r="AA308" s="519"/>
      <c r="AB308" s="519"/>
      <c r="AC308" s="519"/>
    </row>
    <row r="309" spans="1:29" ht="14.4" customHeight="1">
      <c r="A309" s="519"/>
      <c r="B309" s="521"/>
      <c r="C309" s="519"/>
      <c r="D309" s="519"/>
      <c r="E309" s="519"/>
      <c r="F309" s="519"/>
      <c r="G309" s="519"/>
      <c r="H309" s="519"/>
      <c r="I309" s="519"/>
      <c r="J309" s="519"/>
      <c r="K309" s="519"/>
      <c r="L309" s="519"/>
      <c r="M309" s="519"/>
      <c r="N309" s="519"/>
      <c r="O309" s="519"/>
      <c r="P309" s="519"/>
      <c r="Q309" s="519"/>
      <c r="R309" s="519"/>
      <c r="S309" s="519"/>
      <c r="T309" s="519"/>
      <c r="U309" s="519"/>
      <c r="V309" s="519"/>
      <c r="W309" s="519"/>
      <c r="X309" s="519"/>
      <c r="Y309" s="519"/>
      <c r="Z309" s="519"/>
      <c r="AA309" s="519"/>
      <c r="AB309" s="519"/>
      <c r="AC309" s="519"/>
    </row>
    <row r="310" spans="1:29" ht="14.4" customHeight="1">
      <c r="A310" s="519"/>
      <c r="B310" s="521"/>
      <c r="C310" s="519"/>
      <c r="D310" s="519"/>
      <c r="E310" s="519"/>
      <c r="F310" s="519"/>
      <c r="G310" s="519"/>
      <c r="H310" s="519"/>
      <c r="I310" s="519"/>
      <c r="J310" s="519"/>
      <c r="K310" s="519"/>
      <c r="L310" s="519"/>
      <c r="M310" s="519"/>
      <c r="N310" s="519"/>
      <c r="O310" s="519"/>
      <c r="P310" s="519"/>
      <c r="Q310" s="519"/>
      <c r="R310" s="519"/>
      <c r="S310" s="519"/>
      <c r="T310" s="519"/>
      <c r="U310" s="519"/>
      <c r="V310" s="519"/>
      <c r="W310" s="519"/>
      <c r="X310" s="519"/>
      <c r="Y310" s="519"/>
      <c r="Z310" s="519"/>
      <c r="AA310" s="519"/>
      <c r="AB310" s="519"/>
      <c r="AC310" s="519"/>
    </row>
  </sheetData>
  <mergeCells count="123">
    <mergeCell ref="Y3:AC3"/>
    <mergeCell ref="I89:J89"/>
    <mergeCell ref="A89:B90"/>
    <mergeCell ref="K89:L89"/>
    <mergeCell ref="C89:D89"/>
    <mergeCell ref="S62:T62"/>
    <mergeCell ref="Y24:Z24"/>
    <mergeCell ref="W89:X89"/>
    <mergeCell ref="Y58:Z58"/>
    <mergeCell ref="S19:T19"/>
    <mergeCell ref="H3:L3"/>
    <mergeCell ref="S20:T20"/>
    <mergeCell ref="A6:C6"/>
    <mergeCell ref="W78:X78"/>
    <mergeCell ref="S46:T46"/>
    <mergeCell ref="Y62:Z62"/>
    <mergeCell ref="S61:T61"/>
    <mergeCell ref="S3:W3"/>
    <mergeCell ref="S39:T39"/>
    <mergeCell ref="Y64:Z64"/>
    <mergeCell ref="S23:T23"/>
    <mergeCell ref="A3:E3"/>
    <mergeCell ref="A4:E4"/>
    <mergeCell ref="Y4:AC4"/>
    <mergeCell ref="M100:N100"/>
    <mergeCell ref="A78:B79"/>
    <mergeCell ref="O100:P100"/>
    <mergeCell ref="E100:F100"/>
    <mergeCell ref="G100:H100"/>
    <mergeCell ref="Y100:Z100"/>
    <mergeCell ref="K78:L78"/>
    <mergeCell ref="S22:T22"/>
    <mergeCell ref="A77:E77"/>
    <mergeCell ref="S47:T47"/>
    <mergeCell ref="U78:V78"/>
    <mergeCell ref="Y42:Z42"/>
    <mergeCell ref="O78:P78"/>
    <mergeCell ref="Y47:Z47"/>
    <mergeCell ref="Y38:Z38"/>
    <mergeCell ref="S24:T24"/>
    <mergeCell ref="Q89:R89"/>
    <mergeCell ref="S89:T89"/>
    <mergeCell ref="Y37:AC37"/>
    <mergeCell ref="U89:V89"/>
    <mergeCell ref="S65:T65"/>
    <mergeCell ref="Y27:Z27"/>
    <mergeCell ref="S63:T63"/>
    <mergeCell ref="E89:F89"/>
    <mergeCell ref="O89:P89"/>
    <mergeCell ref="G89:H89"/>
    <mergeCell ref="H51:J52"/>
    <mergeCell ref="Y65:Z65"/>
    <mergeCell ref="S64:T64"/>
    <mergeCell ref="Y57:Z57"/>
    <mergeCell ref="Y41:Z41"/>
    <mergeCell ref="H18:L18"/>
    <mergeCell ref="Y89:Z89"/>
    <mergeCell ref="H56:L56"/>
    <mergeCell ref="Y21:Z21"/>
    <mergeCell ref="S57:T57"/>
    <mergeCell ref="A37:E37"/>
    <mergeCell ref="H4:L4"/>
    <mergeCell ref="S18:W18"/>
    <mergeCell ref="Y39:Z39"/>
    <mergeCell ref="A100:B101"/>
    <mergeCell ref="C100:D100"/>
    <mergeCell ref="Y20:Z20"/>
    <mergeCell ref="M78:N78"/>
    <mergeCell ref="S28:T28"/>
    <mergeCell ref="E78:F78"/>
    <mergeCell ref="A18:E18"/>
    <mergeCell ref="G78:H78"/>
    <mergeCell ref="Y22:Z22"/>
    <mergeCell ref="Y78:Z78"/>
    <mergeCell ref="Q78:R78"/>
    <mergeCell ref="S78:T78"/>
    <mergeCell ref="Y40:Z40"/>
    <mergeCell ref="A13:A14"/>
    <mergeCell ref="M89:N89"/>
    <mergeCell ref="Y28:Z28"/>
    <mergeCell ref="S38:T38"/>
    <mergeCell ref="A70:C71"/>
    <mergeCell ref="Y26:Z26"/>
    <mergeCell ref="S37:W37"/>
    <mergeCell ref="S4:W4"/>
    <mergeCell ref="Y43:Z43"/>
    <mergeCell ref="S25:T25"/>
    <mergeCell ref="S43:T43"/>
    <mergeCell ref="Y63:Z63"/>
    <mergeCell ref="S27:T27"/>
    <mergeCell ref="S58:T58"/>
    <mergeCell ref="S44:T44"/>
    <mergeCell ref="Y18:AC18"/>
    <mergeCell ref="Y56:AC56"/>
    <mergeCell ref="S56:W56"/>
    <mergeCell ref="S42:T42"/>
    <mergeCell ref="Y59:Z59"/>
    <mergeCell ref="Y25:Z25"/>
    <mergeCell ref="Y45:Z45"/>
    <mergeCell ref="A111:H116"/>
    <mergeCell ref="A32:C33"/>
    <mergeCell ref="H32:J33"/>
    <mergeCell ref="C78:D78"/>
    <mergeCell ref="I100:J100"/>
    <mergeCell ref="K100:L100"/>
    <mergeCell ref="Y44:Z44"/>
    <mergeCell ref="Y19:Z19"/>
    <mergeCell ref="A56:E56"/>
    <mergeCell ref="Y60:Z60"/>
    <mergeCell ref="H70:J71"/>
    <mergeCell ref="Y46:Z46"/>
    <mergeCell ref="H37:L37"/>
    <mergeCell ref="S45:T45"/>
    <mergeCell ref="Y61:Z61"/>
    <mergeCell ref="I78:J78"/>
    <mergeCell ref="Y23:Z23"/>
    <mergeCell ref="S26:T26"/>
    <mergeCell ref="Q100:R100"/>
    <mergeCell ref="S100:T100"/>
    <mergeCell ref="A110:H110"/>
    <mergeCell ref="A51:C52"/>
    <mergeCell ref="U100:V100"/>
    <mergeCell ref="W100:X100"/>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30"/>
  <sheetViews>
    <sheetView zoomScale="85" zoomScaleNormal="85" workbookViewId="0">
      <pane ySplit="1" topLeftCell="A2" activePane="bottomLeft" state="frozen"/>
      <selection pane="bottomLeft"/>
    </sheetView>
  </sheetViews>
  <sheetFormatPr defaultColWidth="12.59765625" defaultRowHeight="15" customHeight="1"/>
  <cols>
    <col min="1" max="1" width="10" customWidth="1"/>
    <col min="2" max="2" width="30" customWidth="1"/>
    <col min="3" max="5" width="15" customWidth="1"/>
    <col min="6" max="6" width="3.19921875" customWidth="1"/>
    <col min="7" max="7" width="6.09765625" customWidth="1"/>
    <col min="8" max="8" width="2.3984375" customWidth="1"/>
    <col min="9" max="9" width="3.3984375" customWidth="1"/>
    <col min="10" max="25" width="10" customWidth="1"/>
  </cols>
  <sheetData>
    <row r="1" spans="1:26" ht="15" customHeight="1">
      <c r="A1" s="8"/>
      <c r="B1" s="8"/>
      <c r="C1" s="8"/>
      <c r="D1" s="8"/>
      <c r="E1" s="192" t="s">
        <v>10</v>
      </c>
      <c r="F1" s="8"/>
      <c r="G1" s="202"/>
      <c r="H1" s="202"/>
      <c r="I1" s="8"/>
      <c r="J1" s="8"/>
      <c r="K1" s="8"/>
      <c r="L1" s="8"/>
      <c r="M1" s="8"/>
      <c r="N1" s="8"/>
      <c r="O1" s="8"/>
      <c r="P1" s="8"/>
      <c r="Q1" s="8"/>
      <c r="R1" s="8"/>
      <c r="S1" s="8"/>
      <c r="T1" s="8"/>
      <c r="U1" s="8"/>
      <c r="V1" s="8"/>
      <c r="W1" s="8"/>
      <c r="X1" s="8"/>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1"/>
      <c r="D3" s="1"/>
      <c r="E3" s="1"/>
      <c r="F3" s="1"/>
      <c r="G3" s="1"/>
      <c r="H3" s="1"/>
      <c r="I3" s="1"/>
      <c r="J3" s="1"/>
      <c r="K3" s="1"/>
      <c r="L3" s="1"/>
      <c r="M3" s="1"/>
      <c r="N3" s="1"/>
      <c r="O3" s="1"/>
      <c r="P3" s="1"/>
      <c r="Q3" s="1"/>
      <c r="R3" s="1"/>
      <c r="S3" s="1"/>
      <c r="T3" s="1"/>
      <c r="U3" s="1"/>
      <c r="V3" s="1"/>
      <c r="W3" s="1"/>
      <c r="X3" s="1"/>
      <c r="Y3" s="1"/>
      <c r="Z3" s="1"/>
    </row>
    <row r="4" spans="1:26" ht="15" customHeight="1">
      <c r="A4" s="1"/>
      <c r="B4" s="1"/>
      <c r="C4" s="1"/>
      <c r="D4" s="1"/>
      <c r="E4" s="1"/>
      <c r="F4" s="1"/>
      <c r="G4" s="1"/>
      <c r="H4" s="1"/>
      <c r="I4" s="1"/>
      <c r="J4" s="1"/>
      <c r="K4" s="1"/>
      <c r="L4" s="1"/>
      <c r="M4" s="1"/>
      <c r="N4" s="1"/>
      <c r="O4" s="1"/>
      <c r="P4" s="1"/>
      <c r="Q4" s="1"/>
      <c r="R4" s="1"/>
      <c r="S4" s="1"/>
      <c r="T4" s="1"/>
      <c r="U4" s="1"/>
      <c r="V4" s="1"/>
      <c r="W4" s="1"/>
      <c r="X4" s="1"/>
      <c r="Y4" s="1"/>
      <c r="Z4" s="1"/>
    </row>
    <row r="5" spans="1:26" ht="15" customHeight="1">
      <c r="A5" s="1"/>
      <c r="B5" s="1"/>
      <c r="C5" s="1"/>
      <c r="D5" s="1"/>
      <c r="E5" s="1"/>
      <c r="F5" s="1"/>
      <c r="G5" s="1"/>
      <c r="H5" s="1"/>
      <c r="I5" s="1"/>
      <c r="J5" s="1"/>
      <c r="K5" s="1"/>
      <c r="L5" s="1"/>
      <c r="M5" s="1"/>
      <c r="N5" s="1"/>
      <c r="O5" s="1"/>
      <c r="P5" s="1"/>
      <c r="Q5" s="1"/>
      <c r="R5" s="1"/>
      <c r="S5" s="1"/>
      <c r="T5" s="1"/>
      <c r="U5" s="1"/>
      <c r="V5" s="1"/>
      <c r="W5" s="1"/>
      <c r="X5" s="1"/>
      <c r="Y5" s="1"/>
      <c r="Z5" s="1"/>
    </row>
    <row r="6" spans="1:26" ht="15" customHeight="1">
      <c r="A6" s="1"/>
      <c r="B6" s="1"/>
      <c r="C6" s="1"/>
      <c r="D6" s="1"/>
      <c r="E6" s="1"/>
      <c r="F6" s="1"/>
      <c r="G6" s="1"/>
      <c r="H6" s="1"/>
      <c r="I6" s="1"/>
      <c r="J6" s="1"/>
      <c r="K6" s="1"/>
      <c r="L6" s="1"/>
      <c r="M6" s="1"/>
      <c r="N6" s="1"/>
      <c r="O6" s="1"/>
      <c r="P6" s="1"/>
      <c r="Q6" s="1"/>
      <c r="R6" s="1"/>
      <c r="S6" s="1"/>
      <c r="T6" s="1"/>
      <c r="U6" s="1"/>
      <c r="V6" s="1"/>
      <c r="W6" s="1"/>
      <c r="X6" s="1"/>
      <c r="Y6" s="1"/>
      <c r="Z6" s="1"/>
    </row>
    <row r="7" spans="1:26" ht="30" customHeight="1">
      <c r="A7" s="1"/>
      <c r="B7" s="622" t="s">
        <v>72</v>
      </c>
      <c r="C7" s="620"/>
      <c r="D7" s="621"/>
      <c r="E7" s="1"/>
      <c r="F7" s="1"/>
      <c r="G7" s="1"/>
      <c r="H7" s="1"/>
      <c r="I7" s="1"/>
      <c r="J7" s="1"/>
      <c r="K7" s="1"/>
      <c r="L7" s="1"/>
      <c r="M7" s="1"/>
      <c r="N7" s="1"/>
      <c r="O7" s="1"/>
      <c r="P7" s="1"/>
      <c r="Q7" s="1"/>
      <c r="R7" s="1"/>
      <c r="S7" s="1"/>
      <c r="T7" s="1"/>
      <c r="U7" s="1"/>
      <c r="V7" s="1"/>
      <c r="W7" s="1"/>
      <c r="X7" s="1"/>
      <c r="Y7" s="1"/>
      <c r="Z7" s="1"/>
    </row>
    <row r="8" spans="1:26" ht="15" customHeight="1">
      <c r="A8" s="1"/>
      <c r="B8" s="52">
        <v>2026</v>
      </c>
      <c r="C8" s="52">
        <v>2027</v>
      </c>
      <c r="D8" s="52">
        <v>2028</v>
      </c>
      <c r="E8" s="1"/>
      <c r="F8" s="1"/>
      <c r="G8" s="1"/>
      <c r="H8" s="1"/>
      <c r="I8" s="1"/>
      <c r="J8" s="1"/>
      <c r="K8" s="1"/>
      <c r="L8" s="1"/>
      <c r="M8" s="1"/>
      <c r="N8" s="1"/>
      <c r="O8" s="1"/>
      <c r="P8" s="1"/>
      <c r="Q8" s="1"/>
      <c r="R8" s="1"/>
      <c r="S8" s="1"/>
      <c r="T8" s="1"/>
      <c r="U8" s="1"/>
      <c r="V8" s="1"/>
      <c r="W8" s="1"/>
      <c r="X8" s="1"/>
      <c r="Y8" s="1"/>
      <c r="Z8" s="1"/>
    </row>
    <row r="9" spans="1:26" ht="15" customHeight="1">
      <c r="A9" s="1"/>
      <c r="B9" s="56">
        <f>Hipótesis!C24</f>
        <v>0.03</v>
      </c>
      <c r="C9" s="56">
        <f>Hipótesis!C25</f>
        <v>0.08</v>
      </c>
      <c r="D9" s="56">
        <f>Hipótesis!C26</f>
        <v>0.15</v>
      </c>
      <c r="E9" s="1"/>
      <c r="F9" s="1"/>
      <c r="G9" s="1"/>
      <c r="H9" s="1"/>
      <c r="I9" s="1"/>
      <c r="J9" s="1"/>
      <c r="K9" s="1"/>
      <c r="L9" s="1"/>
      <c r="M9" s="1"/>
      <c r="N9" s="1"/>
      <c r="O9" s="1"/>
      <c r="P9" s="1"/>
      <c r="Q9" s="1"/>
      <c r="R9" s="1"/>
      <c r="S9" s="1"/>
      <c r="T9" s="1"/>
      <c r="U9" s="1"/>
      <c r="V9" s="1"/>
      <c r="W9" s="1"/>
      <c r="X9" s="1"/>
      <c r="Y9" s="1"/>
      <c r="Z9" s="1"/>
    </row>
    <row r="10" spans="1:26" ht="15" customHeight="1">
      <c r="A10" s="1"/>
      <c r="B10" s="203">
        <f>Hipótesis!D24</f>
        <v>48960</v>
      </c>
      <c r="C10" s="203">
        <f>Hipótesis!D25</f>
        <v>130560</v>
      </c>
      <c r="D10" s="203">
        <f>Hipótesis!D26</f>
        <v>244800</v>
      </c>
      <c r="E10" s="1"/>
      <c r="F10" s="1"/>
      <c r="G10" s="1"/>
      <c r="H10" s="1"/>
      <c r="I10" s="1"/>
      <c r="J10" s="1"/>
      <c r="K10" s="1"/>
      <c r="L10" s="1"/>
      <c r="M10" s="1"/>
      <c r="N10" s="1"/>
      <c r="O10" s="1"/>
      <c r="P10" s="1"/>
      <c r="Q10" s="1"/>
      <c r="R10" s="1"/>
      <c r="S10" s="1"/>
      <c r="T10" s="1"/>
      <c r="U10" s="1"/>
      <c r="V10" s="1"/>
      <c r="W10" s="1"/>
      <c r="X10" s="1"/>
      <c r="Y10" s="1"/>
      <c r="Z10" s="1"/>
    </row>
    <row r="11" spans="1:26"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30" customHeight="1">
      <c r="A15" s="1"/>
      <c r="B15" s="750" t="s">
        <v>240</v>
      </c>
      <c r="C15" s="620"/>
      <c r="D15" s="620"/>
      <c r="E15" s="621"/>
      <c r="F15" s="1"/>
      <c r="G15" s="1"/>
      <c r="H15" s="1"/>
      <c r="I15" s="1"/>
      <c r="J15" s="1"/>
      <c r="K15" s="1"/>
      <c r="L15" s="1"/>
      <c r="M15" s="1"/>
      <c r="N15" s="1"/>
      <c r="O15" s="1"/>
      <c r="P15" s="1"/>
      <c r="Q15" s="1"/>
      <c r="R15" s="1"/>
      <c r="S15" s="1"/>
      <c r="T15" s="1"/>
      <c r="U15" s="1"/>
      <c r="V15" s="1"/>
      <c r="W15" s="1"/>
      <c r="X15" s="1"/>
      <c r="Y15" s="1"/>
      <c r="Z15" s="1"/>
    </row>
    <row r="16" spans="1:26" ht="15" customHeight="1">
      <c r="A16" s="1"/>
      <c r="B16" s="204" t="s">
        <v>54</v>
      </c>
      <c r="C16" s="205" t="s">
        <v>241</v>
      </c>
      <c r="D16" s="205" t="s">
        <v>242</v>
      </c>
      <c r="E16" s="206" t="s">
        <v>243</v>
      </c>
      <c r="F16" s="1"/>
      <c r="G16" s="1"/>
      <c r="H16" s="1"/>
      <c r="I16" s="1"/>
      <c r="J16" s="1"/>
      <c r="K16" s="1"/>
      <c r="L16" s="1"/>
      <c r="M16" s="1"/>
      <c r="N16" s="1"/>
      <c r="O16" s="1"/>
      <c r="P16" s="1"/>
      <c r="Q16" s="1"/>
      <c r="R16" s="1"/>
      <c r="S16" s="1"/>
      <c r="T16" s="1"/>
      <c r="U16" s="1"/>
      <c r="V16" s="1"/>
      <c r="W16" s="1"/>
      <c r="X16" s="1"/>
      <c r="Y16" s="1"/>
      <c r="Z16" s="1"/>
    </row>
    <row r="17" spans="1:26" ht="15" customHeight="1">
      <c r="A17" s="1"/>
      <c r="B17" s="67" t="str">
        <f>Hipótesis!$B$58</f>
        <v>Alta e instalación Plan Básico</v>
      </c>
      <c r="C17" s="207">
        <f>'Proy. ventas'!D19</f>
        <v>750</v>
      </c>
      <c r="D17" s="207">
        <f>'Proy. ventas'!D82</f>
        <v>1275</v>
      </c>
      <c r="E17" s="208">
        <f>'Proy. ventas'!D144</f>
        <v>1775</v>
      </c>
      <c r="F17" s="1"/>
      <c r="G17" s="1"/>
      <c r="H17" s="1"/>
      <c r="I17" s="1"/>
      <c r="J17" s="1"/>
      <c r="K17" s="1"/>
      <c r="L17" s="1"/>
      <c r="M17" s="1"/>
      <c r="N17" s="1"/>
      <c r="O17" s="1"/>
      <c r="P17" s="1"/>
      <c r="Q17" s="1"/>
      <c r="R17" s="1"/>
      <c r="S17" s="1"/>
      <c r="T17" s="1"/>
      <c r="U17" s="1"/>
      <c r="V17" s="1"/>
      <c r="W17" s="1"/>
      <c r="X17" s="1"/>
      <c r="Y17" s="1"/>
      <c r="Z17" s="1"/>
    </row>
    <row r="18" spans="1:26" ht="15" customHeight="1">
      <c r="A18" s="1"/>
      <c r="B18" s="67" t="str">
        <f>Hipótesis!$B$59</f>
        <v>Alta e instalación Plan Vidriera</v>
      </c>
      <c r="C18" s="209">
        <f>'Proy. ventas'!D20</f>
        <v>3720</v>
      </c>
      <c r="D18" s="209">
        <f>'Proy. ventas'!D83</f>
        <v>6120</v>
      </c>
      <c r="E18" s="210">
        <f>'Proy. ventas'!D145</f>
        <v>8580</v>
      </c>
      <c r="F18" s="1"/>
      <c r="G18" s="1"/>
      <c r="H18" s="1"/>
      <c r="I18" s="1"/>
      <c r="J18" s="1"/>
      <c r="K18" s="1"/>
      <c r="L18" s="1"/>
      <c r="M18" s="1"/>
      <c r="N18" s="1"/>
      <c r="O18" s="1"/>
      <c r="P18" s="1"/>
      <c r="Q18" s="1"/>
      <c r="R18" s="1"/>
      <c r="S18" s="1"/>
      <c r="T18" s="1"/>
      <c r="U18" s="1"/>
      <c r="V18" s="1"/>
      <c r="W18" s="1"/>
      <c r="X18" s="1"/>
      <c r="Y18" s="1"/>
      <c r="Z18" s="1"/>
    </row>
    <row r="19" spans="1:26" ht="15" customHeight="1">
      <c r="A19" s="1"/>
      <c r="B19" s="67" t="str">
        <f>Hipótesis!$B$60</f>
        <v>Alta e instalación Plan Cadena</v>
      </c>
      <c r="C19" s="211">
        <f>'Proy. ventas'!D21</f>
        <v>2500</v>
      </c>
      <c r="D19" s="211">
        <f>'Proy. ventas'!D84</f>
        <v>4250</v>
      </c>
      <c r="E19" s="212">
        <f>'Proy. ventas'!D146</f>
        <v>6000</v>
      </c>
      <c r="F19" s="1"/>
      <c r="G19" s="1"/>
      <c r="H19" s="1"/>
      <c r="I19" s="1"/>
      <c r="J19" s="1"/>
      <c r="K19" s="1"/>
      <c r="L19" s="1"/>
      <c r="M19" s="1"/>
      <c r="N19" s="1"/>
      <c r="O19" s="1"/>
      <c r="P19" s="1"/>
      <c r="Q19" s="1"/>
      <c r="R19" s="1"/>
      <c r="S19" s="1"/>
      <c r="T19" s="1"/>
      <c r="U19" s="1"/>
      <c r="V19" s="1"/>
      <c r="W19" s="1"/>
      <c r="X19" s="1"/>
      <c r="Y19" s="1"/>
      <c r="Z19" s="1"/>
    </row>
    <row r="20" spans="1:26" ht="15" customHeight="1">
      <c r="A20" s="1"/>
      <c r="B20" s="81" t="str">
        <f>Hipótesis!$B$61</f>
        <v>Abono Plan Básico</v>
      </c>
      <c r="C20" s="213">
        <f>'Proy. ventas'!D22</f>
        <v>2220</v>
      </c>
      <c r="D20" s="213">
        <f>'Proy. ventas'!D85</f>
        <v>10140</v>
      </c>
      <c r="E20" s="214">
        <f>'Proy. ventas'!D147</f>
        <v>21585</v>
      </c>
      <c r="F20" s="1"/>
      <c r="G20" s="1"/>
      <c r="H20" s="1"/>
      <c r="I20" s="1"/>
      <c r="J20" s="1"/>
      <c r="K20" s="1"/>
      <c r="L20" s="1"/>
      <c r="M20" s="1"/>
      <c r="N20" s="1"/>
      <c r="O20" s="1"/>
      <c r="P20" s="1"/>
      <c r="Q20" s="1"/>
      <c r="R20" s="1"/>
      <c r="S20" s="1"/>
      <c r="T20" s="1"/>
      <c r="U20" s="1"/>
      <c r="V20" s="1"/>
      <c r="W20" s="1"/>
      <c r="X20" s="1"/>
      <c r="Y20" s="1"/>
      <c r="Z20" s="1"/>
    </row>
    <row r="21" spans="1:26" ht="15" customHeight="1">
      <c r="A21" s="1"/>
      <c r="B21" s="81" t="str">
        <f>Hipótesis!$B$62</f>
        <v>Abono Plan Vidriera</v>
      </c>
      <c r="C21" s="215">
        <f>'Proy. ventas'!D23</f>
        <v>8671</v>
      </c>
      <c r="D21" s="215">
        <f>'Proy. ventas'!D86</f>
        <v>40281</v>
      </c>
      <c r="E21" s="216">
        <f>'Proy. ventas'!D148</f>
        <v>84187</v>
      </c>
      <c r="F21" s="1"/>
      <c r="G21" s="1"/>
      <c r="H21" s="1"/>
      <c r="I21" s="1"/>
      <c r="J21" s="1"/>
      <c r="K21" s="1"/>
      <c r="L21" s="1"/>
      <c r="M21" s="1"/>
      <c r="N21" s="1"/>
      <c r="O21" s="1"/>
      <c r="P21" s="1"/>
      <c r="Q21" s="1"/>
      <c r="R21" s="1"/>
      <c r="S21" s="1"/>
      <c r="T21" s="1"/>
      <c r="U21" s="1"/>
      <c r="V21" s="1"/>
      <c r="W21" s="1"/>
      <c r="X21" s="1"/>
      <c r="Y21" s="1"/>
      <c r="Z21" s="1"/>
    </row>
    <row r="22" spans="1:26" ht="15" customHeight="1">
      <c r="A22" s="1"/>
      <c r="B22" s="81" t="str">
        <f>Hipótesis!$B$63</f>
        <v>Abono Plan Cadena</v>
      </c>
      <c r="C22" s="215">
        <f>'Proy. ventas'!D24</f>
        <v>3002</v>
      </c>
      <c r="D22" s="215">
        <f>'Proy. ventas'!D87</f>
        <v>17064</v>
      </c>
      <c r="E22" s="216">
        <f>'Proy. ventas'!D149</f>
        <v>37920</v>
      </c>
      <c r="F22" s="1"/>
      <c r="G22" s="1"/>
      <c r="H22" s="1"/>
      <c r="I22" s="1"/>
      <c r="J22" s="1"/>
      <c r="K22" s="1"/>
      <c r="L22" s="1"/>
      <c r="M22" s="1"/>
      <c r="N22" s="1"/>
      <c r="O22" s="1"/>
      <c r="P22" s="1"/>
      <c r="Q22" s="1"/>
      <c r="R22" s="1"/>
      <c r="S22" s="1"/>
      <c r="T22" s="1"/>
      <c r="U22" s="1"/>
      <c r="V22" s="1"/>
      <c r="W22" s="1"/>
      <c r="X22" s="1"/>
      <c r="Y22" s="1"/>
      <c r="Z22" s="1"/>
    </row>
    <row r="23" spans="1:26" ht="15" hidden="1" customHeight="1">
      <c r="A23" s="1"/>
      <c r="B23" s="217"/>
      <c r="C23" s="218"/>
      <c r="D23" s="218"/>
      <c r="E23" s="219"/>
      <c r="F23" s="1"/>
      <c r="G23" s="1"/>
      <c r="H23" s="1"/>
      <c r="I23" s="1"/>
      <c r="J23" s="1"/>
      <c r="K23" s="1"/>
      <c r="L23" s="1"/>
      <c r="M23" s="1"/>
      <c r="N23" s="1"/>
      <c r="O23" s="1"/>
      <c r="P23" s="1"/>
      <c r="Q23" s="1"/>
      <c r="R23" s="1"/>
      <c r="S23" s="1"/>
      <c r="T23" s="1"/>
      <c r="U23" s="1"/>
      <c r="V23" s="1"/>
      <c r="W23" s="1"/>
      <c r="X23" s="1"/>
      <c r="Y23" s="1"/>
      <c r="Z23" s="1"/>
    </row>
    <row r="24" spans="1:26" ht="15" hidden="1" customHeight="1">
      <c r="A24" s="1"/>
      <c r="B24" s="220"/>
      <c r="C24" s="221"/>
      <c r="D24" s="221"/>
      <c r="E24" s="222"/>
      <c r="F24" s="1"/>
      <c r="G24" s="1"/>
      <c r="H24" s="1"/>
      <c r="I24" s="1"/>
      <c r="J24" s="1"/>
      <c r="K24" s="1"/>
      <c r="L24" s="1"/>
      <c r="M24" s="1"/>
      <c r="N24" s="1"/>
      <c r="O24" s="1"/>
      <c r="P24" s="1"/>
      <c r="Q24" s="1"/>
      <c r="R24" s="1"/>
      <c r="S24" s="1"/>
      <c r="T24" s="1"/>
      <c r="U24" s="1"/>
      <c r="V24" s="1"/>
      <c r="W24" s="1"/>
      <c r="X24" s="1"/>
      <c r="Y24" s="1"/>
      <c r="Z24" s="1"/>
    </row>
    <row r="25" spans="1:26" ht="15" hidden="1" customHeight="1">
      <c r="A25" s="1"/>
      <c r="B25" s="223"/>
      <c r="C25" s="224"/>
      <c r="D25" s="224"/>
      <c r="E25" s="225"/>
      <c r="F25" s="1"/>
      <c r="G25" s="1"/>
      <c r="H25" s="1"/>
      <c r="I25" s="1"/>
      <c r="J25" s="1"/>
      <c r="K25" s="1"/>
      <c r="L25" s="1"/>
      <c r="M25" s="1"/>
      <c r="N25" s="1"/>
      <c r="O25" s="1"/>
      <c r="P25" s="1"/>
      <c r="Q25" s="1"/>
      <c r="R25" s="1"/>
      <c r="S25" s="1"/>
      <c r="T25" s="1"/>
      <c r="U25" s="1"/>
      <c r="V25" s="1"/>
      <c r="W25" s="1"/>
      <c r="X25" s="1"/>
      <c r="Y25" s="1"/>
      <c r="Z25" s="1"/>
    </row>
    <row r="26" spans="1:26" ht="15" hidden="1" customHeight="1">
      <c r="A26" s="1"/>
      <c r="B26" s="223"/>
      <c r="C26" s="224"/>
      <c r="D26" s="224"/>
      <c r="E26" s="225"/>
      <c r="F26" s="1"/>
      <c r="G26" s="1"/>
      <c r="H26" s="1"/>
      <c r="I26" s="1"/>
      <c r="J26" s="1"/>
      <c r="K26" s="1"/>
      <c r="L26" s="1"/>
      <c r="M26" s="1"/>
      <c r="N26" s="1"/>
      <c r="O26" s="1"/>
      <c r="P26" s="1"/>
      <c r="Q26" s="1"/>
      <c r="R26" s="1"/>
      <c r="S26" s="1"/>
      <c r="T26" s="1"/>
      <c r="U26" s="1"/>
      <c r="V26" s="1"/>
      <c r="W26" s="1"/>
      <c r="X26" s="1"/>
      <c r="Y26" s="1"/>
      <c r="Z26" s="1"/>
    </row>
    <row r="27" spans="1:26" ht="15" hidden="1" customHeight="1">
      <c r="A27" s="1"/>
      <c r="B27" s="223"/>
      <c r="C27" s="224"/>
      <c r="D27" s="224"/>
      <c r="E27" s="225"/>
      <c r="F27" s="1"/>
      <c r="G27" s="1"/>
      <c r="H27" s="1"/>
      <c r="I27" s="1"/>
      <c r="J27" s="1"/>
      <c r="K27" s="1"/>
      <c r="L27" s="1"/>
      <c r="M27" s="1"/>
      <c r="N27" s="1"/>
      <c r="O27" s="1"/>
      <c r="P27" s="1"/>
      <c r="Q27" s="1"/>
      <c r="R27" s="1"/>
      <c r="S27" s="1"/>
      <c r="T27" s="1"/>
      <c r="U27" s="1"/>
      <c r="V27" s="1"/>
      <c r="W27" s="1"/>
      <c r="X27" s="1"/>
      <c r="Y27" s="1"/>
      <c r="Z27" s="1"/>
    </row>
    <row r="28" spans="1:26" ht="15" hidden="1" customHeight="1">
      <c r="A28" s="1"/>
      <c r="B28" s="226"/>
      <c r="C28" s="227"/>
      <c r="D28" s="227"/>
      <c r="E28" s="228"/>
      <c r="F28" s="1"/>
      <c r="G28" s="1"/>
      <c r="H28" s="1"/>
      <c r="I28" s="1"/>
      <c r="J28" s="1"/>
      <c r="K28" s="1"/>
      <c r="L28" s="1"/>
      <c r="M28" s="1"/>
      <c r="N28" s="1"/>
      <c r="O28" s="1"/>
      <c r="P28" s="1"/>
      <c r="Q28" s="1"/>
      <c r="R28" s="1"/>
      <c r="S28" s="1"/>
      <c r="T28" s="1"/>
      <c r="U28" s="1"/>
      <c r="V28" s="1"/>
      <c r="W28" s="1"/>
      <c r="X28" s="1"/>
      <c r="Y28" s="1"/>
      <c r="Z28" s="1"/>
    </row>
    <row r="29" spans="1:26" ht="15.6" hidden="1" customHeight="1">
      <c r="A29" s="1"/>
      <c r="B29" s="229"/>
      <c r="C29" s="230"/>
      <c r="D29" s="230"/>
      <c r="E29" s="231"/>
      <c r="F29" s="1"/>
      <c r="G29" s="1"/>
      <c r="H29" s="1"/>
      <c r="I29" s="1"/>
      <c r="J29" s="1"/>
      <c r="K29" s="1"/>
      <c r="L29" s="1"/>
      <c r="M29" s="1"/>
      <c r="N29" s="1"/>
      <c r="O29" s="1"/>
      <c r="P29" s="1"/>
      <c r="Q29" s="1"/>
      <c r="R29" s="1"/>
      <c r="S29" s="1"/>
      <c r="T29" s="1"/>
      <c r="U29" s="1"/>
      <c r="V29" s="1"/>
      <c r="W29" s="1"/>
      <c r="X29" s="1"/>
      <c r="Y29" s="1"/>
      <c r="Z29" s="1"/>
    </row>
    <row r="30" spans="1:26" ht="14.4" customHeight="1">
      <c r="A30" s="1"/>
      <c r="B30" s="466" t="s">
        <v>235</v>
      </c>
      <c r="C30" s="467">
        <f>SUM(C17:C29)</f>
        <v>20863</v>
      </c>
      <c r="D30" s="467">
        <f>SUM(D17:D29)</f>
        <v>79130</v>
      </c>
      <c r="E30" s="467">
        <f>SUM(E17:E29)</f>
        <v>160047</v>
      </c>
      <c r="F30" s="1"/>
      <c r="G30" s="1"/>
      <c r="H30" s="1"/>
      <c r="I30" s="1"/>
      <c r="J30" s="1"/>
      <c r="K30" s="1"/>
      <c r="L30" s="1"/>
      <c r="M30" s="1"/>
      <c r="N30" s="1"/>
      <c r="O30" s="1"/>
      <c r="P30" s="1"/>
      <c r="Q30" s="1"/>
      <c r="R30" s="1"/>
      <c r="S30" s="1"/>
      <c r="T30" s="1"/>
      <c r="U30" s="1"/>
      <c r="V30" s="1"/>
      <c r="W30" s="1"/>
      <c r="X30" s="1"/>
      <c r="Y30" s="1"/>
      <c r="Z30" s="1"/>
    </row>
    <row r="31" spans="1:26" ht="14.4"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sheetData>
  <mergeCells count="2">
    <mergeCell ref="B7:D7"/>
    <mergeCell ref="B15:E15"/>
  </mergeCells>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60"/>
  <sheetViews>
    <sheetView workbookViewId="0">
      <pane ySplit="1" topLeftCell="A19" activePane="bottomLeft" state="frozen"/>
      <selection pane="bottomLeft"/>
    </sheetView>
  </sheetViews>
  <sheetFormatPr defaultColWidth="12.59765625" defaultRowHeight="15" customHeight="1"/>
  <cols>
    <col min="1" max="1" width="10" customWidth="1"/>
    <col min="2" max="2" width="32.5" customWidth="1"/>
    <col min="3" max="3" width="47.5" customWidth="1"/>
    <col min="4" max="4" width="13.8984375" customWidth="1"/>
    <col min="5" max="5" width="14" customWidth="1"/>
    <col min="6" max="6" width="61.19921875" customWidth="1"/>
    <col min="7" max="7" width="29.09765625" customWidth="1"/>
    <col min="8" max="8" width="13" customWidth="1"/>
    <col min="9" max="9" width="13.09765625" customWidth="1"/>
    <col min="10" max="15" width="12.8984375" customWidth="1"/>
    <col min="16" max="16" width="13.8984375" customWidth="1"/>
    <col min="17" max="17" width="80" customWidth="1"/>
    <col min="18" max="26" width="10" customWidth="1"/>
  </cols>
  <sheetData>
    <row r="1" spans="1:26" ht="46.2" customHeight="1">
      <c r="A1" s="8"/>
      <c r="B1" s="8"/>
      <c r="C1" s="8"/>
      <c r="D1" s="8"/>
      <c r="E1" s="8"/>
      <c r="F1" s="468" t="s">
        <v>11</v>
      </c>
      <c r="G1" s="202"/>
      <c r="H1" s="202"/>
      <c r="I1" s="8"/>
      <c r="J1" s="8"/>
      <c r="K1" s="8"/>
      <c r="L1" s="8"/>
      <c r="M1" s="8"/>
      <c r="N1" s="8"/>
      <c r="O1" s="8"/>
      <c r="P1" s="8"/>
      <c r="Q1" s="8"/>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753" t="s">
        <v>72</v>
      </c>
      <c r="D3" s="754"/>
      <c r="E3" s="755"/>
      <c r="F3" s="1"/>
      <c r="G3" s="753" t="s">
        <v>244</v>
      </c>
      <c r="H3" s="754"/>
      <c r="I3" s="755"/>
      <c r="J3" s="1"/>
      <c r="K3" s="1"/>
      <c r="L3" s="1"/>
      <c r="M3" s="1"/>
      <c r="N3" s="1"/>
      <c r="O3" s="1"/>
      <c r="P3" s="1"/>
      <c r="Q3" s="1"/>
      <c r="R3" s="1"/>
      <c r="S3" s="1"/>
      <c r="T3" s="1"/>
      <c r="U3" s="1"/>
      <c r="V3" s="1"/>
      <c r="W3" s="1"/>
      <c r="X3" s="1"/>
      <c r="Y3" s="1"/>
      <c r="Z3" s="1"/>
    </row>
    <row r="4" spans="1:26" ht="15" customHeight="1">
      <c r="A4" s="1"/>
      <c r="B4" s="1"/>
      <c r="C4" s="470">
        <v>2026</v>
      </c>
      <c r="D4" s="470">
        <v>2027</v>
      </c>
      <c r="E4" s="470">
        <v>2028</v>
      </c>
      <c r="F4" s="1"/>
      <c r="G4" s="470">
        <v>2026</v>
      </c>
      <c r="H4" s="470">
        <v>2027</v>
      </c>
      <c r="I4" s="470">
        <v>2028</v>
      </c>
      <c r="J4" s="1"/>
      <c r="K4" s="1"/>
      <c r="L4" s="1"/>
      <c r="M4" s="1"/>
      <c r="N4" s="1"/>
      <c r="O4" s="1"/>
      <c r="P4" s="1"/>
      <c r="Q4" s="1"/>
      <c r="R4" s="1"/>
      <c r="S4" s="1"/>
      <c r="T4" s="1"/>
      <c r="U4" s="1"/>
      <c r="V4" s="1"/>
      <c r="W4" s="1"/>
      <c r="X4" s="1"/>
      <c r="Y4" s="1"/>
      <c r="Z4" s="1"/>
    </row>
    <row r="5" spans="1:26" ht="15" customHeight="1">
      <c r="A5" s="1"/>
      <c r="B5" s="1"/>
      <c r="C5" s="471">
        <f>Hipótesis!C24</f>
        <v>0.03</v>
      </c>
      <c r="D5" s="471">
        <f>Hipótesis!C25</f>
        <v>0.08</v>
      </c>
      <c r="E5" s="471">
        <f>Hipótesis!C26</f>
        <v>0.15</v>
      </c>
      <c r="F5" s="1"/>
      <c r="G5" s="472">
        <f>P25</f>
        <v>25440</v>
      </c>
      <c r="H5" s="472">
        <f>P42</f>
        <v>33300</v>
      </c>
      <c r="I5" s="472">
        <f>P60</f>
        <v>37260</v>
      </c>
      <c r="J5" s="1"/>
      <c r="K5" s="1"/>
      <c r="L5" s="1"/>
      <c r="M5" s="1"/>
      <c r="N5" s="1"/>
      <c r="O5" s="1"/>
      <c r="P5" s="1"/>
      <c r="Q5" s="1"/>
      <c r="R5" s="1"/>
      <c r="S5" s="1"/>
      <c r="T5" s="1"/>
      <c r="U5" s="1"/>
      <c r="V5" s="1"/>
      <c r="W5" s="1"/>
      <c r="X5" s="1"/>
      <c r="Y5" s="1"/>
      <c r="Z5" s="1"/>
    </row>
    <row r="6" spans="1:26" ht="15" customHeight="1">
      <c r="A6" s="1"/>
      <c r="B6" s="1"/>
      <c r="C6" s="473">
        <f>Hipótesis!D24</f>
        <v>48960</v>
      </c>
      <c r="D6" s="473">
        <f>Hipótesis!D25</f>
        <v>130560</v>
      </c>
      <c r="E6" s="473">
        <f>Hipótesis!D26</f>
        <v>244800</v>
      </c>
      <c r="F6" s="1"/>
      <c r="G6" s="232"/>
      <c r="H6" s="232"/>
      <c r="I6" s="232"/>
      <c r="J6" s="1"/>
      <c r="K6" s="1"/>
      <c r="L6" s="1"/>
      <c r="M6" s="1"/>
      <c r="N6" s="1"/>
      <c r="O6" s="1"/>
      <c r="P6" s="1"/>
      <c r="Q6" s="1"/>
      <c r="R6" s="1"/>
      <c r="S6" s="1"/>
      <c r="T6" s="1"/>
      <c r="U6" s="1"/>
      <c r="V6" s="1"/>
      <c r="W6" s="1"/>
      <c r="X6" s="1"/>
      <c r="Y6" s="1"/>
      <c r="Z6" s="1"/>
    </row>
    <row r="7" spans="1:26" ht="15" customHeight="1">
      <c r="A7" s="1"/>
      <c r="B7" s="1"/>
      <c r="C7" s="1"/>
      <c r="D7" s="1"/>
      <c r="E7" s="1"/>
      <c r="F7" s="1"/>
      <c r="G7" s="753" t="s">
        <v>245</v>
      </c>
      <c r="H7" s="754"/>
      <c r="I7" s="755"/>
      <c r="J7" s="1"/>
      <c r="K7" s="1"/>
      <c r="L7" s="1"/>
      <c r="M7" s="1"/>
      <c r="N7" s="1"/>
      <c r="O7" s="1"/>
      <c r="P7" s="1"/>
      <c r="Q7" s="1"/>
      <c r="R7" s="1"/>
      <c r="S7" s="1"/>
      <c r="T7" s="1"/>
      <c r="U7" s="1"/>
      <c r="V7" s="1"/>
      <c r="W7" s="1"/>
      <c r="X7" s="1"/>
      <c r="Y7" s="1"/>
      <c r="Z7" s="1"/>
    </row>
    <row r="8" spans="1:26" ht="15" customHeight="1">
      <c r="A8" s="1"/>
      <c r="B8" s="1"/>
      <c r="C8" s="1"/>
      <c r="D8" s="1"/>
      <c r="E8" s="1"/>
      <c r="F8" s="1"/>
      <c r="G8" s="470">
        <v>2026</v>
      </c>
      <c r="H8" s="470">
        <v>2027</v>
      </c>
      <c r="I8" s="470">
        <v>2028</v>
      </c>
      <c r="J8" s="1"/>
      <c r="K8" s="1"/>
      <c r="L8" s="1"/>
      <c r="M8" s="1"/>
      <c r="N8" s="1"/>
      <c r="O8" s="1"/>
      <c r="P8" s="1"/>
      <c r="Q8" s="1"/>
      <c r="R8" s="1"/>
      <c r="S8" s="1"/>
      <c r="T8" s="1"/>
      <c r="U8" s="1"/>
      <c r="V8" s="1"/>
      <c r="W8" s="1"/>
      <c r="X8" s="1"/>
      <c r="Y8" s="1"/>
      <c r="Z8" s="1"/>
    </row>
    <row r="9" spans="1:26" ht="15" customHeight="1">
      <c r="A9" s="1"/>
      <c r="B9" s="1"/>
      <c r="C9" s="1"/>
      <c r="D9" s="1"/>
      <c r="E9" s="1"/>
      <c r="F9" s="1"/>
      <c r="G9" s="472">
        <f>SUM(P23:P24)</f>
        <v>2400</v>
      </c>
      <c r="H9" s="472">
        <f>SUM(P40:P41)</f>
        <v>3240</v>
      </c>
      <c r="I9" s="472">
        <f>SUM(P58:P59)</f>
        <v>4320</v>
      </c>
      <c r="J9" s="1"/>
      <c r="K9" s="1"/>
      <c r="L9" s="1"/>
      <c r="M9" s="1"/>
      <c r="N9" s="1"/>
      <c r="O9" s="1"/>
      <c r="P9" s="1"/>
      <c r="Q9" s="1"/>
      <c r="R9" s="1"/>
      <c r="S9" s="1"/>
      <c r="T9" s="1"/>
      <c r="U9" s="1"/>
      <c r="V9" s="1"/>
      <c r="W9" s="1"/>
      <c r="X9" s="1"/>
      <c r="Y9" s="1"/>
      <c r="Z9" s="1"/>
    </row>
    <row r="10" spans="1:26"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c r="A11" s="1"/>
      <c r="B11" s="469" t="s">
        <v>246</v>
      </c>
      <c r="R11" s="1"/>
      <c r="S11" s="1"/>
      <c r="T11" s="1"/>
      <c r="U11" s="1"/>
      <c r="V11" s="1"/>
      <c r="W11" s="1"/>
      <c r="X11" s="1"/>
      <c r="Y11" s="1"/>
      <c r="Z11" s="1"/>
    </row>
    <row r="12" spans="1:26" ht="15" customHeight="1">
      <c r="A12" s="1"/>
      <c r="B12" s="470" t="s">
        <v>247</v>
      </c>
      <c r="C12" s="470" t="s">
        <v>96</v>
      </c>
      <c r="D12" s="470" t="s">
        <v>79</v>
      </c>
      <c r="E12" s="470" t="s">
        <v>80</v>
      </c>
      <c r="F12" s="470" t="s">
        <v>81</v>
      </c>
      <c r="G12" s="470" t="s">
        <v>82</v>
      </c>
      <c r="H12" s="470" t="s">
        <v>83</v>
      </c>
      <c r="I12" s="470" t="s">
        <v>84</v>
      </c>
      <c r="J12" s="470" t="s">
        <v>85</v>
      </c>
      <c r="K12" s="470" t="s">
        <v>86</v>
      </c>
      <c r="L12" s="470" t="s">
        <v>87</v>
      </c>
      <c r="M12" s="470" t="s">
        <v>88</v>
      </c>
      <c r="N12" s="470" t="s">
        <v>89</v>
      </c>
      <c r="O12" s="470" t="s">
        <v>90</v>
      </c>
      <c r="P12" s="470" t="s">
        <v>248</v>
      </c>
      <c r="Q12" s="470" t="s">
        <v>249</v>
      </c>
      <c r="R12" s="1"/>
      <c r="S12" s="1"/>
      <c r="T12" s="1"/>
      <c r="U12" s="1"/>
      <c r="V12" s="1"/>
      <c r="W12" s="1"/>
      <c r="X12" s="1"/>
      <c r="Y12" s="1"/>
      <c r="Z12" s="1"/>
    </row>
    <row r="13" spans="1:26" ht="15" customHeight="1">
      <c r="A13" s="1"/>
      <c r="B13" s="751" t="s">
        <v>250</v>
      </c>
      <c r="C13" s="474" t="s">
        <v>251</v>
      </c>
      <c r="D13" s="473">
        <v>45</v>
      </c>
      <c r="E13" s="473">
        <v>45</v>
      </c>
      <c r="F13" s="473">
        <v>45</v>
      </c>
      <c r="G13" s="473">
        <v>45</v>
      </c>
      <c r="H13" s="473">
        <v>45</v>
      </c>
      <c r="I13" s="473">
        <v>45</v>
      </c>
      <c r="J13" s="473">
        <v>45</v>
      </c>
      <c r="K13" s="473">
        <v>45</v>
      </c>
      <c r="L13" s="473">
        <v>45</v>
      </c>
      <c r="M13" s="473">
        <v>45</v>
      </c>
      <c r="N13" s="473">
        <v>45</v>
      </c>
      <c r="O13" s="473">
        <v>45</v>
      </c>
      <c r="P13" s="475">
        <f t="shared" ref="P13:P25" si="0">SUM(D13:O13)</f>
        <v>540</v>
      </c>
      <c r="Q13" s="476"/>
      <c r="R13" s="1"/>
      <c r="S13" s="1"/>
      <c r="T13" s="1"/>
      <c r="U13" s="1"/>
      <c r="V13" s="1"/>
      <c r="W13" s="1"/>
      <c r="X13" s="1"/>
      <c r="Y13" s="1"/>
      <c r="Z13" s="1"/>
    </row>
    <row r="14" spans="1:26" ht="15" customHeight="1">
      <c r="A14" s="1"/>
      <c r="B14" s="756"/>
      <c r="C14" s="474" t="s">
        <v>252</v>
      </c>
      <c r="D14" s="473">
        <v>15</v>
      </c>
      <c r="E14" s="473">
        <v>15</v>
      </c>
      <c r="F14" s="473">
        <v>15</v>
      </c>
      <c r="G14" s="473">
        <v>15</v>
      </c>
      <c r="H14" s="473">
        <v>15</v>
      </c>
      <c r="I14" s="473">
        <v>15</v>
      </c>
      <c r="J14" s="473">
        <v>15</v>
      </c>
      <c r="K14" s="473">
        <v>15</v>
      </c>
      <c r="L14" s="473">
        <v>15</v>
      </c>
      <c r="M14" s="473">
        <v>15</v>
      </c>
      <c r="N14" s="473">
        <v>15</v>
      </c>
      <c r="O14" s="473">
        <v>15</v>
      </c>
      <c r="P14" s="475">
        <f t="shared" si="0"/>
        <v>180</v>
      </c>
      <c r="Q14" s="476"/>
      <c r="R14" s="1"/>
      <c r="S14" s="1"/>
      <c r="T14" s="1"/>
      <c r="U14" s="1"/>
      <c r="V14" s="1"/>
      <c r="W14" s="1"/>
      <c r="X14" s="1"/>
      <c r="Y14" s="1"/>
      <c r="Z14" s="1"/>
    </row>
    <row r="15" spans="1:26" ht="15" customHeight="1">
      <c r="A15" s="1"/>
      <c r="B15" s="756"/>
      <c r="C15" s="474" t="s">
        <v>253</v>
      </c>
      <c r="D15" s="473">
        <v>60</v>
      </c>
      <c r="E15" s="473">
        <v>60</v>
      </c>
      <c r="F15" s="473">
        <v>60</v>
      </c>
      <c r="G15" s="473">
        <v>60</v>
      </c>
      <c r="H15" s="473">
        <v>60</v>
      </c>
      <c r="I15" s="473">
        <v>60</v>
      </c>
      <c r="J15" s="473">
        <v>60</v>
      </c>
      <c r="K15" s="473">
        <v>60</v>
      </c>
      <c r="L15" s="473">
        <v>60</v>
      </c>
      <c r="M15" s="473">
        <v>60</v>
      </c>
      <c r="N15" s="473">
        <v>60</v>
      </c>
      <c r="O15" s="473">
        <v>60</v>
      </c>
      <c r="P15" s="475">
        <f t="shared" si="0"/>
        <v>720</v>
      </c>
      <c r="Q15" s="476"/>
      <c r="R15" s="1"/>
      <c r="S15" s="1"/>
      <c r="T15" s="1"/>
      <c r="U15" s="1"/>
      <c r="V15" s="1"/>
      <c r="W15" s="1"/>
      <c r="X15" s="1"/>
      <c r="Y15" s="1"/>
      <c r="Z15" s="1"/>
    </row>
    <row r="16" spans="1:26" ht="15" customHeight="1">
      <c r="A16" s="1"/>
      <c r="B16" s="756"/>
      <c r="C16" s="474" t="s">
        <v>254</v>
      </c>
      <c r="D16" s="473">
        <v>30</v>
      </c>
      <c r="E16" s="473">
        <v>30</v>
      </c>
      <c r="F16" s="473">
        <v>30</v>
      </c>
      <c r="G16" s="473">
        <v>30</v>
      </c>
      <c r="H16" s="473">
        <v>30</v>
      </c>
      <c r="I16" s="473">
        <v>30</v>
      </c>
      <c r="J16" s="473">
        <v>30</v>
      </c>
      <c r="K16" s="473">
        <v>30</v>
      </c>
      <c r="L16" s="473">
        <v>30</v>
      </c>
      <c r="M16" s="473">
        <v>30</v>
      </c>
      <c r="N16" s="473">
        <v>30</v>
      </c>
      <c r="O16" s="473">
        <v>30</v>
      </c>
      <c r="P16" s="475">
        <f t="shared" si="0"/>
        <v>360</v>
      </c>
      <c r="Q16" s="476" t="s">
        <v>255</v>
      </c>
      <c r="R16" s="1"/>
      <c r="S16" s="1"/>
      <c r="T16" s="1"/>
      <c r="U16" s="1"/>
      <c r="V16" s="1"/>
      <c r="W16" s="1"/>
      <c r="X16" s="1"/>
      <c r="Y16" s="1"/>
      <c r="Z16" s="1"/>
    </row>
    <row r="17" spans="1:26" ht="15" customHeight="1">
      <c r="A17" s="1"/>
      <c r="B17" s="756"/>
      <c r="C17" s="474" t="s">
        <v>256</v>
      </c>
      <c r="D17" s="473">
        <v>250</v>
      </c>
      <c r="E17" s="473">
        <v>250</v>
      </c>
      <c r="F17" s="473">
        <v>250</v>
      </c>
      <c r="G17" s="473">
        <v>250</v>
      </c>
      <c r="H17" s="473">
        <v>250</v>
      </c>
      <c r="I17" s="473">
        <v>250</v>
      </c>
      <c r="J17" s="473">
        <v>250</v>
      </c>
      <c r="K17" s="473">
        <v>250</v>
      </c>
      <c r="L17" s="473">
        <v>250</v>
      </c>
      <c r="M17" s="473">
        <v>250</v>
      </c>
      <c r="N17" s="473">
        <v>250</v>
      </c>
      <c r="O17" s="473">
        <v>250</v>
      </c>
      <c r="P17" s="475">
        <f t="shared" si="0"/>
        <v>3000</v>
      </c>
      <c r="Q17" s="476" t="s">
        <v>257</v>
      </c>
      <c r="R17" s="1"/>
      <c r="S17" s="1"/>
      <c r="T17" s="1"/>
      <c r="U17" s="1"/>
      <c r="V17" s="1"/>
      <c r="W17" s="1"/>
      <c r="X17" s="1"/>
      <c r="Y17" s="1"/>
      <c r="Z17" s="1"/>
    </row>
    <row r="18" spans="1:26" ht="15" customHeight="1">
      <c r="A18" s="1"/>
      <c r="B18" s="752"/>
      <c r="C18" s="474" t="s">
        <v>258</v>
      </c>
      <c r="D18" s="473">
        <v>120</v>
      </c>
      <c r="E18" s="473">
        <v>120</v>
      </c>
      <c r="F18" s="473">
        <v>120</v>
      </c>
      <c r="G18" s="473">
        <v>120</v>
      </c>
      <c r="H18" s="473">
        <v>120</v>
      </c>
      <c r="I18" s="473">
        <v>120</v>
      </c>
      <c r="J18" s="473">
        <v>120</v>
      </c>
      <c r="K18" s="473">
        <v>120</v>
      </c>
      <c r="L18" s="473">
        <v>120</v>
      </c>
      <c r="M18" s="473">
        <v>120</v>
      </c>
      <c r="N18" s="473">
        <v>120</v>
      </c>
      <c r="O18" s="473">
        <v>120</v>
      </c>
      <c r="P18" s="475">
        <f t="shared" si="0"/>
        <v>1440</v>
      </c>
      <c r="Q18" s="476" t="s">
        <v>259</v>
      </c>
      <c r="R18" s="1"/>
      <c r="S18" s="1"/>
      <c r="T18" s="1"/>
      <c r="U18" s="1"/>
      <c r="V18" s="1"/>
      <c r="W18" s="1"/>
      <c r="X18" s="1"/>
      <c r="Y18" s="1"/>
      <c r="Z18" s="1"/>
    </row>
    <row r="19" spans="1:26" ht="15" customHeight="1">
      <c r="A19" s="1"/>
      <c r="B19" s="751" t="s">
        <v>260</v>
      </c>
      <c r="C19" s="474" t="s">
        <v>108</v>
      </c>
      <c r="D19" s="473">
        <v>600</v>
      </c>
      <c r="E19" s="473">
        <v>600</v>
      </c>
      <c r="F19" s="473">
        <v>600</v>
      </c>
      <c r="G19" s="473">
        <v>600</v>
      </c>
      <c r="H19" s="473">
        <v>600</v>
      </c>
      <c r="I19" s="473">
        <v>600</v>
      </c>
      <c r="J19" s="473">
        <v>600</v>
      </c>
      <c r="K19" s="473">
        <v>600</v>
      </c>
      <c r="L19" s="473">
        <v>600</v>
      </c>
      <c r="M19" s="473">
        <v>600</v>
      </c>
      <c r="N19" s="473">
        <v>600</v>
      </c>
      <c r="O19" s="473">
        <v>600</v>
      </c>
      <c r="P19" s="475">
        <f t="shared" si="0"/>
        <v>7200</v>
      </c>
      <c r="Q19" s="476" t="s">
        <v>261</v>
      </c>
      <c r="R19" s="1"/>
      <c r="S19" s="1"/>
      <c r="T19" s="1"/>
      <c r="U19" s="1"/>
      <c r="V19" s="1"/>
      <c r="W19" s="1"/>
      <c r="X19" s="1"/>
      <c r="Y19" s="1"/>
      <c r="Z19" s="1"/>
    </row>
    <row r="20" spans="1:26" ht="15" customHeight="1">
      <c r="A20" s="1"/>
      <c r="B20" s="752"/>
      <c r="C20" s="474" t="s">
        <v>262</v>
      </c>
      <c r="D20" s="473">
        <v>0</v>
      </c>
      <c r="E20" s="473">
        <v>0</v>
      </c>
      <c r="F20" s="473">
        <v>0</v>
      </c>
      <c r="G20" s="473">
        <v>0</v>
      </c>
      <c r="H20" s="473">
        <v>0</v>
      </c>
      <c r="I20" s="473">
        <v>0</v>
      </c>
      <c r="J20" s="473">
        <v>0</v>
      </c>
      <c r="K20" s="473">
        <v>0</v>
      </c>
      <c r="L20" s="473">
        <v>0</v>
      </c>
      <c r="M20" s="473">
        <v>0</v>
      </c>
      <c r="N20" s="473">
        <v>0</v>
      </c>
      <c r="O20" s="473">
        <v>0</v>
      </c>
      <c r="P20" s="475">
        <f t="shared" si="0"/>
        <v>0</v>
      </c>
      <c r="Q20" s="476" t="s">
        <v>263</v>
      </c>
      <c r="R20" s="1"/>
      <c r="S20" s="1"/>
      <c r="T20" s="1"/>
      <c r="U20" s="1"/>
      <c r="V20" s="1"/>
      <c r="W20" s="1"/>
      <c r="X20" s="1"/>
      <c r="Y20" s="1"/>
      <c r="Z20" s="1"/>
    </row>
    <row r="21" spans="1:26" ht="15" customHeight="1">
      <c r="A21" s="1"/>
      <c r="B21" s="751" t="s">
        <v>264</v>
      </c>
      <c r="C21" s="474" t="s">
        <v>265</v>
      </c>
      <c r="D21" s="473">
        <v>400</v>
      </c>
      <c r="E21" s="473">
        <v>400</v>
      </c>
      <c r="F21" s="473">
        <v>400</v>
      </c>
      <c r="G21" s="473">
        <v>400</v>
      </c>
      <c r="H21" s="473">
        <v>400</v>
      </c>
      <c r="I21" s="473">
        <v>400</v>
      </c>
      <c r="J21" s="473">
        <v>400</v>
      </c>
      <c r="K21" s="473">
        <v>400</v>
      </c>
      <c r="L21" s="473">
        <v>400</v>
      </c>
      <c r="M21" s="473">
        <v>400</v>
      </c>
      <c r="N21" s="473">
        <v>400</v>
      </c>
      <c r="O21" s="473">
        <v>400</v>
      </c>
      <c r="P21" s="475">
        <f t="shared" si="0"/>
        <v>4800</v>
      </c>
      <c r="Q21" s="476" t="s">
        <v>266</v>
      </c>
      <c r="R21" s="1"/>
      <c r="S21" s="1"/>
      <c r="T21" s="1"/>
      <c r="U21" s="1"/>
      <c r="V21" s="1"/>
      <c r="W21" s="1"/>
      <c r="X21" s="1"/>
      <c r="Y21" s="1"/>
      <c r="Z21" s="1"/>
    </row>
    <row r="22" spans="1:26" ht="15" customHeight="1">
      <c r="A22" s="1"/>
      <c r="B22" s="752"/>
      <c r="C22" s="474" t="s">
        <v>267</v>
      </c>
      <c r="D22" s="473">
        <v>400</v>
      </c>
      <c r="E22" s="473">
        <v>400</v>
      </c>
      <c r="F22" s="473">
        <v>400</v>
      </c>
      <c r="G22" s="473">
        <v>400</v>
      </c>
      <c r="H22" s="473">
        <v>400</v>
      </c>
      <c r="I22" s="473">
        <v>400</v>
      </c>
      <c r="J22" s="473">
        <v>400</v>
      </c>
      <c r="K22" s="473">
        <v>400</v>
      </c>
      <c r="L22" s="473">
        <v>400</v>
      </c>
      <c r="M22" s="473">
        <v>400</v>
      </c>
      <c r="N22" s="473">
        <v>400</v>
      </c>
      <c r="O22" s="473">
        <v>400</v>
      </c>
      <c r="P22" s="475">
        <f t="shared" si="0"/>
        <v>4800</v>
      </c>
      <c r="Q22" s="476" t="s">
        <v>268</v>
      </c>
      <c r="R22" s="1"/>
      <c r="S22" s="1"/>
      <c r="T22" s="1"/>
      <c r="U22" s="1"/>
      <c r="V22" s="1"/>
      <c r="W22" s="1"/>
      <c r="X22" s="1"/>
      <c r="Y22" s="1"/>
      <c r="Z22" s="1"/>
    </row>
    <row r="23" spans="1:26" ht="15" customHeight="1">
      <c r="A23" s="1"/>
      <c r="B23" s="751" t="s">
        <v>269</v>
      </c>
      <c r="C23" s="474" t="s">
        <v>270</v>
      </c>
      <c r="D23" s="473">
        <v>150</v>
      </c>
      <c r="E23" s="473">
        <v>150</v>
      </c>
      <c r="F23" s="473">
        <v>150</v>
      </c>
      <c r="G23" s="473">
        <v>150</v>
      </c>
      <c r="H23" s="473">
        <v>150</v>
      </c>
      <c r="I23" s="473">
        <v>150</v>
      </c>
      <c r="J23" s="473">
        <v>150</v>
      </c>
      <c r="K23" s="473">
        <v>150</v>
      </c>
      <c r="L23" s="473">
        <v>150</v>
      </c>
      <c r="M23" s="473">
        <v>150</v>
      </c>
      <c r="N23" s="473">
        <v>150</v>
      </c>
      <c r="O23" s="473">
        <v>150</v>
      </c>
      <c r="P23" s="475">
        <f t="shared" si="0"/>
        <v>1800</v>
      </c>
      <c r="Q23" s="476" t="s">
        <v>271</v>
      </c>
      <c r="R23" s="1"/>
      <c r="S23" s="1"/>
      <c r="T23" s="1"/>
      <c r="U23" s="1"/>
      <c r="V23" s="1"/>
      <c r="W23" s="1"/>
      <c r="X23" s="1"/>
      <c r="Y23" s="1"/>
      <c r="Z23" s="1"/>
    </row>
    <row r="24" spans="1:26" ht="15" customHeight="1">
      <c r="A24" s="1"/>
      <c r="B24" s="752"/>
      <c r="C24" s="474" t="s">
        <v>272</v>
      </c>
      <c r="D24" s="473">
        <v>50</v>
      </c>
      <c r="E24" s="473">
        <v>50</v>
      </c>
      <c r="F24" s="473">
        <v>50</v>
      </c>
      <c r="G24" s="473">
        <v>50</v>
      </c>
      <c r="H24" s="473">
        <v>50</v>
      </c>
      <c r="I24" s="473">
        <v>50</v>
      </c>
      <c r="J24" s="473">
        <v>50</v>
      </c>
      <c r="K24" s="473">
        <v>50</v>
      </c>
      <c r="L24" s="473">
        <v>50</v>
      </c>
      <c r="M24" s="473">
        <v>50</v>
      </c>
      <c r="N24" s="473">
        <v>50</v>
      </c>
      <c r="O24" s="473">
        <v>50</v>
      </c>
      <c r="P24" s="475">
        <f t="shared" si="0"/>
        <v>600</v>
      </c>
      <c r="Q24" s="476"/>
      <c r="R24" s="1"/>
      <c r="S24" s="1"/>
      <c r="T24" s="1"/>
      <c r="U24" s="1"/>
      <c r="V24" s="1"/>
      <c r="W24" s="1"/>
      <c r="X24" s="1"/>
      <c r="Y24" s="1"/>
      <c r="Z24" s="1"/>
    </row>
    <row r="25" spans="1:26" ht="15" customHeight="1">
      <c r="A25" s="1"/>
      <c r="B25" s="477" t="s">
        <v>273</v>
      </c>
      <c r="C25" s="478"/>
      <c r="D25" s="479">
        <f t="shared" ref="D25:O25" si="1">SUM(D13:D24)</f>
        <v>2120</v>
      </c>
      <c r="E25" s="479">
        <f t="shared" si="1"/>
        <v>2120</v>
      </c>
      <c r="F25" s="479">
        <f t="shared" si="1"/>
        <v>2120</v>
      </c>
      <c r="G25" s="479">
        <f t="shared" si="1"/>
        <v>2120</v>
      </c>
      <c r="H25" s="479">
        <f t="shared" si="1"/>
        <v>2120</v>
      </c>
      <c r="I25" s="479">
        <f t="shared" si="1"/>
        <v>2120</v>
      </c>
      <c r="J25" s="479">
        <f t="shared" si="1"/>
        <v>2120</v>
      </c>
      <c r="K25" s="479">
        <f t="shared" si="1"/>
        <v>2120</v>
      </c>
      <c r="L25" s="479">
        <f t="shared" si="1"/>
        <v>2120</v>
      </c>
      <c r="M25" s="479">
        <f t="shared" si="1"/>
        <v>2120</v>
      </c>
      <c r="N25" s="479">
        <f t="shared" si="1"/>
        <v>2120</v>
      </c>
      <c r="O25" s="479">
        <f t="shared" si="1"/>
        <v>2120</v>
      </c>
      <c r="P25" s="479">
        <f t="shared" si="0"/>
        <v>25440</v>
      </c>
      <c r="Q25" s="478"/>
      <c r="R25" s="1"/>
      <c r="S25" s="1"/>
      <c r="T25" s="1"/>
      <c r="U25" s="1"/>
      <c r="V25" s="1"/>
      <c r="W25" s="1"/>
      <c r="X25" s="1"/>
      <c r="Y25" s="1"/>
      <c r="Z25" s="1"/>
    </row>
    <row r="26" spans="1:26"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ustomHeight="1">
      <c r="A28" s="1"/>
      <c r="B28" s="469" t="s">
        <v>274</v>
      </c>
      <c r="R28" s="1"/>
      <c r="S28" s="1"/>
      <c r="T28" s="1"/>
      <c r="U28" s="1"/>
      <c r="V28" s="1"/>
      <c r="W28" s="1"/>
      <c r="X28" s="1"/>
      <c r="Y28" s="1"/>
      <c r="Z28" s="1"/>
    </row>
    <row r="29" spans="1:26" ht="18" customHeight="1">
      <c r="A29" s="1"/>
      <c r="B29" s="470" t="s">
        <v>247</v>
      </c>
      <c r="C29" s="470" t="s">
        <v>96</v>
      </c>
      <c r="D29" s="470" t="s">
        <v>79</v>
      </c>
      <c r="E29" s="470" t="s">
        <v>80</v>
      </c>
      <c r="F29" s="470" t="s">
        <v>81</v>
      </c>
      <c r="G29" s="470" t="s">
        <v>82</v>
      </c>
      <c r="H29" s="470" t="s">
        <v>83</v>
      </c>
      <c r="I29" s="470" t="s">
        <v>84</v>
      </c>
      <c r="J29" s="470" t="s">
        <v>85</v>
      </c>
      <c r="K29" s="470" t="s">
        <v>86</v>
      </c>
      <c r="L29" s="470" t="s">
        <v>87</v>
      </c>
      <c r="M29" s="470" t="s">
        <v>88</v>
      </c>
      <c r="N29" s="470" t="s">
        <v>89</v>
      </c>
      <c r="O29" s="470" t="s">
        <v>90</v>
      </c>
      <c r="P29" s="470" t="s">
        <v>248</v>
      </c>
      <c r="Q29" s="470" t="s">
        <v>249</v>
      </c>
      <c r="R29" s="1"/>
      <c r="S29" s="1"/>
      <c r="T29" s="1"/>
      <c r="U29" s="1"/>
      <c r="V29" s="1"/>
      <c r="W29" s="1"/>
      <c r="X29" s="1"/>
      <c r="Y29" s="1"/>
      <c r="Z29" s="1"/>
    </row>
    <row r="30" spans="1:26" ht="14.4" customHeight="1">
      <c r="A30" s="1"/>
      <c r="B30" s="751" t="s">
        <v>250</v>
      </c>
      <c r="C30" s="474" t="s">
        <v>251</v>
      </c>
      <c r="D30" s="473">
        <v>45</v>
      </c>
      <c r="E30" s="473">
        <v>45</v>
      </c>
      <c r="F30" s="473">
        <v>45</v>
      </c>
      <c r="G30" s="473">
        <v>45</v>
      </c>
      <c r="H30" s="473">
        <v>45</v>
      </c>
      <c r="I30" s="473">
        <v>45</v>
      </c>
      <c r="J30" s="473">
        <v>45</v>
      </c>
      <c r="K30" s="473">
        <v>45</v>
      </c>
      <c r="L30" s="473">
        <v>45</v>
      </c>
      <c r="M30" s="473">
        <v>45</v>
      </c>
      <c r="N30" s="473">
        <v>45</v>
      </c>
      <c r="O30" s="473">
        <v>45</v>
      </c>
      <c r="P30" s="475">
        <f t="shared" ref="P30:P42" si="2">SUM(D30:O30)</f>
        <v>540</v>
      </c>
      <c r="Q30" s="476"/>
      <c r="R30" s="1"/>
      <c r="S30" s="1"/>
      <c r="T30" s="1"/>
      <c r="U30" s="1"/>
      <c r="V30" s="1"/>
      <c r="W30" s="1"/>
      <c r="X30" s="1"/>
      <c r="Y30" s="1"/>
      <c r="Z30" s="1"/>
    </row>
    <row r="31" spans="1:26" ht="14.4" customHeight="1">
      <c r="A31" s="1"/>
      <c r="B31" s="756"/>
      <c r="C31" s="474" t="s">
        <v>252</v>
      </c>
      <c r="D31" s="473">
        <v>15</v>
      </c>
      <c r="E31" s="473">
        <v>15</v>
      </c>
      <c r="F31" s="473">
        <v>15</v>
      </c>
      <c r="G31" s="473">
        <v>15</v>
      </c>
      <c r="H31" s="473">
        <v>15</v>
      </c>
      <c r="I31" s="473">
        <v>15</v>
      </c>
      <c r="J31" s="473">
        <v>15</v>
      </c>
      <c r="K31" s="473">
        <v>15</v>
      </c>
      <c r="L31" s="473">
        <v>15</v>
      </c>
      <c r="M31" s="473">
        <v>15</v>
      </c>
      <c r="N31" s="473">
        <v>15</v>
      </c>
      <c r="O31" s="473">
        <v>15</v>
      </c>
      <c r="P31" s="475">
        <f t="shared" si="2"/>
        <v>180</v>
      </c>
      <c r="Q31" s="476"/>
      <c r="R31" s="1"/>
      <c r="S31" s="1"/>
      <c r="T31" s="1"/>
      <c r="U31" s="1"/>
      <c r="V31" s="1"/>
      <c r="W31" s="1"/>
      <c r="X31" s="1"/>
      <c r="Y31" s="1"/>
      <c r="Z31" s="1"/>
    </row>
    <row r="32" spans="1:26" ht="14.4" customHeight="1">
      <c r="A32" s="1"/>
      <c r="B32" s="756"/>
      <c r="C32" s="474" t="s">
        <v>253</v>
      </c>
      <c r="D32" s="473">
        <v>60</v>
      </c>
      <c r="E32" s="473">
        <v>60</v>
      </c>
      <c r="F32" s="473">
        <v>60</v>
      </c>
      <c r="G32" s="473">
        <v>60</v>
      </c>
      <c r="H32" s="473">
        <v>60</v>
      </c>
      <c r="I32" s="473">
        <v>60</v>
      </c>
      <c r="J32" s="473">
        <v>60</v>
      </c>
      <c r="K32" s="473">
        <v>60</v>
      </c>
      <c r="L32" s="473">
        <v>60</v>
      </c>
      <c r="M32" s="473">
        <v>60</v>
      </c>
      <c r="N32" s="473">
        <v>60</v>
      </c>
      <c r="O32" s="473">
        <v>60</v>
      </c>
      <c r="P32" s="475">
        <f t="shared" si="2"/>
        <v>720</v>
      </c>
      <c r="Q32" s="476"/>
      <c r="R32" s="1"/>
      <c r="S32" s="1"/>
      <c r="T32" s="1"/>
      <c r="U32" s="1"/>
      <c r="V32" s="1"/>
      <c r="W32" s="1"/>
      <c r="X32" s="1"/>
      <c r="Y32" s="1"/>
      <c r="Z32" s="1"/>
    </row>
    <row r="33" spans="1:26" ht="14.4" customHeight="1">
      <c r="A33" s="1"/>
      <c r="B33" s="756"/>
      <c r="C33" s="474" t="s">
        <v>254</v>
      </c>
      <c r="D33" s="473">
        <v>45</v>
      </c>
      <c r="E33" s="473">
        <v>45</v>
      </c>
      <c r="F33" s="473">
        <v>45</v>
      </c>
      <c r="G33" s="473">
        <v>45</v>
      </c>
      <c r="H33" s="473">
        <v>45</v>
      </c>
      <c r="I33" s="473">
        <v>45</v>
      </c>
      <c r="J33" s="473">
        <v>45</v>
      </c>
      <c r="K33" s="473">
        <v>45</v>
      </c>
      <c r="L33" s="473">
        <v>45</v>
      </c>
      <c r="M33" s="473">
        <v>45</v>
      </c>
      <c r="N33" s="473">
        <v>45</v>
      </c>
      <c r="O33" s="473">
        <v>45</v>
      </c>
      <c r="P33" s="475">
        <f t="shared" si="2"/>
        <v>540</v>
      </c>
      <c r="Q33" s="476" t="s">
        <v>255</v>
      </c>
      <c r="R33" s="1"/>
      <c r="S33" s="1"/>
      <c r="T33" s="1"/>
      <c r="U33" s="1"/>
      <c r="V33" s="1"/>
      <c r="W33" s="1"/>
      <c r="X33" s="1"/>
      <c r="Y33" s="1"/>
      <c r="Z33" s="1"/>
    </row>
    <row r="34" spans="1:26" ht="14.4" customHeight="1">
      <c r="A34" s="1"/>
      <c r="B34" s="756"/>
      <c r="C34" s="474" t="s">
        <v>256</v>
      </c>
      <c r="D34" s="473">
        <v>350</v>
      </c>
      <c r="E34" s="473">
        <v>350</v>
      </c>
      <c r="F34" s="473">
        <v>350</v>
      </c>
      <c r="G34" s="473">
        <v>350</v>
      </c>
      <c r="H34" s="473">
        <v>350</v>
      </c>
      <c r="I34" s="473">
        <v>350</v>
      </c>
      <c r="J34" s="473">
        <v>350</v>
      </c>
      <c r="K34" s="473">
        <v>350</v>
      </c>
      <c r="L34" s="473">
        <v>350</v>
      </c>
      <c r="M34" s="473">
        <v>350</v>
      </c>
      <c r="N34" s="473">
        <v>350</v>
      </c>
      <c r="O34" s="473">
        <v>350</v>
      </c>
      <c r="P34" s="475">
        <f t="shared" si="2"/>
        <v>4200</v>
      </c>
      <c r="Q34" s="476" t="s">
        <v>257</v>
      </c>
      <c r="R34" s="1"/>
      <c r="S34" s="1"/>
      <c r="T34" s="1"/>
      <c r="U34" s="1"/>
      <c r="V34" s="1"/>
      <c r="W34" s="1"/>
      <c r="X34" s="1"/>
      <c r="Y34" s="1"/>
      <c r="Z34" s="1"/>
    </row>
    <row r="35" spans="1:26" ht="14.4" customHeight="1">
      <c r="A35" s="1"/>
      <c r="B35" s="752"/>
      <c r="C35" s="474" t="s">
        <v>258</v>
      </c>
      <c r="D35" s="473">
        <v>140</v>
      </c>
      <c r="E35" s="473">
        <v>140</v>
      </c>
      <c r="F35" s="473">
        <v>140</v>
      </c>
      <c r="G35" s="473">
        <v>140</v>
      </c>
      <c r="H35" s="473">
        <v>140</v>
      </c>
      <c r="I35" s="473">
        <v>140</v>
      </c>
      <c r="J35" s="473">
        <v>140</v>
      </c>
      <c r="K35" s="473">
        <v>140</v>
      </c>
      <c r="L35" s="473">
        <v>140</v>
      </c>
      <c r="M35" s="473">
        <v>140</v>
      </c>
      <c r="N35" s="473">
        <v>140</v>
      </c>
      <c r="O35" s="473">
        <v>140</v>
      </c>
      <c r="P35" s="475">
        <f t="shared" si="2"/>
        <v>1680</v>
      </c>
      <c r="Q35" s="476" t="s">
        <v>259</v>
      </c>
      <c r="R35" s="1"/>
      <c r="S35" s="1"/>
      <c r="T35" s="1"/>
      <c r="U35" s="1"/>
      <c r="V35" s="1"/>
      <c r="W35" s="1"/>
      <c r="X35" s="1"/>
      <c r="Y35" s="1"/>
      <c r="Z35" s="1"/>
    </row>
    <row r="36" spans="1:26" ht="14.4" customHeight="1">
      <c r="A36" s="1"/>
      <c r="B36" s="751" t="s">
        <v>260</v>
      </c>
      <c r="C36" s="474" t="s">
        <v>108</v>
      </c>
      <c r="D36" s="473">
        <v>600</v>
      </c>
      <c r="E36" s="473">
        <v>600</v>
      </c>
      <c r="F36" s="473">
        <v>600</v>
      </c>
      <c r="G36" s="473">
        <v>600</v>
      </c>
      <c r="H36" s="473">
        <v>600</v>
      </c>
      <c r="I36" s="473">
        <v>600</v>
      </c>
      <c r="J36" s="473">
        <v>600</v>
      </c>
      <c r="K36" s="473">
        <v>600</v>
      </c>
      <c r="L36" s="473">
        <v>600</v>
      </c>
      <c r="M36" s="473">
        <v>600</v>
      </c>
      <c r="N36" s="473">
        <v>600</v>
      </c>
      <c r="O36" s="473">
        <v>600</v>
      </c>
      <c r="P36" s="475">
        <f t="shared" si="2"/>
        <v>7200</v>
      </c>
      <c r="Q36" s="476" t="s">
        <v>261</v>
      </c>
      <c r="R36" s="1"/>
      <c r="S36" s="1"/>
      <c r="T36" s="1"/>
      <c r="U36" s="1"/>
      <c r="V36" s="1"/>
      <c r="W36" s="1"/>
      <c r="X36" s="1"/>
      <c r="Y36" s="1"/>
      <c r="Z36" s="1"/>
    </row>
    <row r="37" spans="1:26" ht="14.4" customHeight="1">
      <c r="A37" s="1"/>
      <c r="B37" s="752"/>
      <c r="C37" s="474" t="s">
        <v>262</v>
      </c>
      <c r="D37" s="473">
        <v>400</v>
      </c>
      <c r="E37" s="473">
        <v>400</v>
      </c>
      <c r="F37" s="473">
        <v>400</v>
      </c>
      <c r="G37" s="473">
        <v>400</v>
      </c>
      <c r="H37" s="473">
        <v>400</v>
      </c>
      <c r="I37" s="473">
        <v>400</v>
      </c>
      <c r="J37" s="473">
        <v>400</v>
      </c>
      <c r="K37" s="473">
        <v>400</v>
      </c>
      <c r="L37" s="473">
        <v>400</v>
      </c>
      <c r="M37" s="473">
        <v>400</v>
      </c>
      <c r="N37" s="473">
        <v>400</v>
      </c>
      <c r="O37" s="473">
        <v>400</v>
      </c>
      <c r="P37" s="475">
        <f t="shared" si="2"/>
        <v>4800</v>
      </c>
      <c r="Q37" s="476" t="s">
        <v>263</v>
      </c>
      <c r="R37" s="1"/>
      <c r="S37" s="1"/>
      <c r="T37" s="1"/>
      <c r="U37" s="1"/>
      <c r="V37" s="1"/>
      <c r="W37" s="1"/>
      <c r="X37" s="1"/>
      <c r="Y37" s="1"/>
      <c r="Z37" s="1"/>
    </row>
    <row r="38" spans="1:26" ht="14.4" customHeight="1">
      <c r="A38" s="1"/>
      <c r="B38" s="751" t="s">
        <v>264</v>
      </c>
      <c r="C38" s="474" t="s">
        <v>265</v>
      </c>
      <c r="D38" s="473">
        <v>450</v>
      </c>
      <c r="E38" s="473">
        <v>450</v>
      </c>
      <c r="F38" s="473">
        <v>450</v>
      </c>
      <c r="G38" s="473">
        <v>450</v>
      </c>
      <c r="H38" s="473">
        <v>450</v>
      </c>
      <c r="I38" s="473">
        <v>450</v>
      </c>
      <c r="J38" s="473">
        <v>450</v>
      </c>
      <c r="K38" s="473">
        <v>450</v>
      </c>
      <c r="L38" s="473">
        <v>450</v>
      </c>
      <c r="M38" s="473">
        <v>450</v>
      </c>
      <c r="N38" s="473">
        <v>450</v>
      </c>
      <c r="O38" s="473">
        <v>450</v>
      </c>
      <c r="P38" s="475">
        <f t="shared" si="2"/>
        <v>5400</v>
      </c>
      <c r="Q38" s="476" t="s">
        <v>266</v>
      </c>
      <c r="R38" s="1"/>
      <c r="S38" s="1"/>
      <c r="T38" s="1"/>
      <c r="U38" s="1"/>
      <c r="V38" s="1"/>
      <c r="W38" s="1"/>
      <c r="X38" s="1"/>
      <c r="Y38" s="1"/>
      <c r="Z38" s="1"/>
    </row>
    <row r="39" spans="1:26" ht="14.4" customHeight="1">
      <c r="A39" s="1"/>
      <c r="B39" s="752"/>
      <c r="C39" s="474" t="s">
        <v>267</v>
      </c>
      <c r="D39" s="473">
        <v>400</v>
      </c>
      <c r="E39" s="473">
        <v>400</v>
      </c>
      <c r="F39" s="473">
        <v>400</v>
      </c>
      <c r="G39" s="473">
        <v>400</v>
      </c>
      <c r="H39" s="473">
        <v>400</v>
      </c>
      <c r="I39" s="473">
        <v>400</v>
      </c>
      <c r="J39" s="473">
        <v>400</v>
      </c>
      <c r="K39" s="473">
        <v>400</v>
      </c>
      <c r="L39" s="473">
        <v>400</v>
      </c>
      <c r="M39" s="473">
        <v>400</v>
      </c>
      <c r="N39" s="473">
        <v>400</v>
      </c>
      <c r="O39" s="473">
        <v>400</v>
      </c>
      <c r="P39" s="475">
        <f t="shared" si="2"/>
        <v>4800</v>
      </c>
      <c r="Q39" s="476" t="s">
        <v>268</v>
      </c>
      <c r="R39" s="1"/>
      <c r="S39" s="1"/>
      <c r="T39" s="1"/>
      <c r="U39" s="1"/>
      <c r="V39" s="1"/>
      <c r="W39" s="1"/>
      <c r="X39" s="1"/>
      <c r="Y39" s="1"/>
      <c r="Z39" s="1"/>
    </row>
    <row r="40" spans="1:26" ht="14.4" customHeight="1">
      <c r="A40" s="1"/>
      <c r="B40" s="751" t="s">
        <v>269</v>
      </c>
      <c r="C40" s="474" t="s">
        <v>270</v>
      </c>
      <c r="D40" s="473">
        <v>220</v>
      </c>
      <c r="E40" s="473">
        <v>220</v>
      </c>
      <c r="F40" s="473">
        <v>220</v>
      </c>
      <c r="G40" s="473">
        <v>220</v>
      </c>
      <c r="H40" s="473">
        <v>220</v>
      </c>
      <c r="I40" s="473">
        <v>220</v>
      </c>
      <c r="J40" s="473">
        <v>220</v>
      </c>
      <c r="K40" s="473">
        <v>220</v>
      </c>
      <c r="L40" s="473">
        <v>220</v>
      </c>
      <c r="M40" s="473">
        <v>220</v>
      </c>
      <c r="N40" s="473">
        <v>220</v>
      </c>
      <c r="O40" s="473">
        <v>220</v>
      </c>
      <c r="P40" s="475">
        <f t="shared" si="2"/>
        <v>2640</v>
      </c>
      <c r="Q40" s="476" t="s">
        <v>271</v>
      </c>
      <c r="R40" s="1"/>
      <c r="S40" s="1"/>
      <c r="T40" s="1"/>
      <c r="U40" s="1"/>
      <c r="V40" s="1"/>
      <c r="W40" s="1"/>
      <c r="X40" s="1"/>
      <c r="Y40" s="1"/>
      <c r="Z40" s="1"/>
    </row>
    <row r="41" spans="1:26" ht="14.4" customHeight="1">
      <c r="A41" s="1"/>
      <c r="B41" s="752"/>
      <c r="C41" s="474" t="s">
        <v>272</v>
      </c>
      <c r="D41" s="473">
        <v>50</v>
      </c>
      <c r="E41" s="473">
        <v>50</v>
      </c>
      <c r="F41" s="473">
        <v>50</v>
      </c>
      <c r="G41" s="473">
        <v>50</v>
      </c>
      <c r="H41" s="473">
        <v>50</v>
      </c>
      <c r="I41" s="473">
        <v>50</v>
      </c>
      <c r="J41" s="473">
        <v>50</v>
      </c>
      <c r="K41" s="473">
        <v>50</v>
      </c>
      <c r="L41" s="473">
        <v>50</v>
      </c>
      <c r="M41" s="473">
        <v>50</v>
      </c>
      <c r="N41" s="473">
        <v>50</v>
      </c>
      <c r="O41" s="473">
        <v>50</v>
      </c>
      <c r="P41" s="475">
        <f t="shared" si="2"/>
        <v>600</v>
      </c>
      <c r="Q41" s="476"/>
      <c r="R41" s="1"/>
      <c r="S41" s="1"/>
      <c r="T41" s="1"/>
      <c r="U41" s="1"/>
      <c r="V41" s="1"/>
      <c r="W41" s="1"/>
      <c r="X41" s="1"/>
      <c r="Y41" s="1"/>
      <c r="Z41" s="1"/>
    </row>
    <row r="42" spans="1:26" ht="14.4" customHeight="1">
      <c r="A42" s="1"/>
      <c r="B42" s="477" t="s">
        <v>273</v>
      </c>
      <c r="C42" s="478"/>
      <c r="D42" s="479">
        <f t="shared" ref="D42:O42" si="3">SUM(D30:D41)</f>
        <v>2775</v>
      </c>
      <c r="E42" s="479">
        <f t="shared" si="3"/>
        <v>2775</v>
      </c>
      <c r="F42" s="479">
        <f t="shared" si="3"/>
        <v>2775</v>
      </c>
      <c r="G42" s="479">
        <f t="shared" si="3"/>
        <v>2775</v>
      </c>
      <c r="H42" s="479">
        <f t="shared" si="3"/>
        <v>2775</v>
      </c>
      <c r="I42" s="479">
        <f t="shared" si="3"/>
        <v>2775</v>
      </c>
      <c r="J42" s="479">
        <f t="shared" si="3"/>
        <v>2775</v>
      </c>
      <c r="K42" s="479">
        <f t="shared" si="3"/>
        <v>2775</v>
      </c>
      <c r="L42" s="479">
        <f t="shared" si="3"/>
        <v>2775</v>
      </c>
      <c r="M42" s="479">
        <f t="shared" si="3"/>
        <v>2775</v>
      </c>
      <c r="N42" s="479">
        <f t="shared" si="3"/>
        <v>2775</v>
      </c>
      <c r="O42" s="479">
        <f t="shared" si="3"/>
        <v>2775</v>
      </c>
      <c r="P42" s="479">
        <f t="shared" si="2"/>
        <v>33300</v>
      </c>
      <c r="Q42" s="478"/>
      <c r="R42" s="1"/>
      <c r="S42" s="1"/>
      <c r="T42" s="1"/>
      <c r="U42" s="1"/>
      <c r="V42" s="1"/>
      <c r="W42" s="1"/>
      <c r="X42" s="1"/>
      <c r="Y42" s="1"/>
      <c r="Z42" s="1"/>
    </row>
    <row r="43" spans="1:26" ht="14.4"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5.95" customHeight="1">
      <c r="A46" s="1"/>
      <c r="B46" s="469" t="s">
        <v>275</v>
      </c>
      <c r="R46" s="1"/>
      <c r="S46" s="1"/>
      <c r="T46" s="1"/>
      <c r="U46" s="1"/>
      <c r="V46" s="1"/>
      <c r="W46" s="1"/>
      <c r="X46" s="1"/>
      <c r="Y46" s="1"/>
      <c r="Z46" s="1"/>
    </row>
    <row r="47" spans="1:26" ht="18" customHeight="1">
      <c r="A47" s="1"/>
      <c r="B47" s="470" t="s">
        <v>247</v>
      </c>
      <c r="C47" s="470" t="s">
        <v>96</v>
      </c>
      <c r="D47" s="470" t="s">
        <v>79</v>
      </c>
      <c r="E47" s="470" t="s">
        <v>80</v>
      </c>
      <c r="F47" s="470" t="s">
        <v>81</v>
      </c>
      <c r="G47" s="470" t="s">
        <v>82</v>
      </c>
      <c r="H47" s="470" t="s">
        <v>83</v>
      </c>
      <c r="I47" s="470" t="s">
        <v>84</v>
      </c>
      <c r="J47" s="470" t="s">
        <v>85</v>
      </c>
      <c r="K47" s="470" t="s">
        <v>86</v>
      </c>
      <c r="L47" s="470" t="s">
        <v>87</v>
      </c>
      <c r="M47" s="470" t="s">
        <v>88</v>
      </c>
      <c r="N47" s="470" t="s">
        <v>89</v>
      </c>
      <c r="O47" s="470" t="s">
        <v>90</v>
      </c>
      <c r="P47" s="470" t="s">
        <v>248</v>
      </c>
      <c r="Q47" s="470" t="s">
        <v>249</v>
      </c>
      <c r="R47" s="1"/>
      <c r="S47" s="1"/>
      <c r="T47" s="1"/>
      <c r="U47" s="1"/>
      <c r="V47" s="1"/>
      <c r="W47" s="1"/>
      <c r="X47" s="1"/>
      <c r="Y47" s="1"/>
      <c r="Z47" s="1"/>
    </row>
    <row r="48" spans="1:26" ht="14.4" customHeight="1">
      <c r="A48" s="1"/>
      <c r="B48" s="751" t="s">
        <v>250</v>
      </c>
      <c r="C48" s="474" t="s">
        <v>251</v>
      </c>
      <c r="D48" s="473">
        <v>50</v>
      </c>
      <c r="E48" s="473">
        <v>50</v>
      </c>
      <c r="F48" s="473">
        <v>50</v>
      </c>
      <c r="G48" s="473">
        <v>50</v>
      </c>
      <c r="H48" s="473">
        <v>50</v>
      </c>
      <c r="I48" s="473">
        <v>50</v>
      </c>
      <c r="J48" s="473">
        <v>50</v>
      </c>
      <c r="K48" s="473">
        <v>50</v>
      </c>
      <c r="L48" s="473">
        <v>50</v>
      </c>
      <c r="M48" s="473">
        <v>50</v>
      </c>
      <c r="N48" s="473">
        <v>50</v>
      </c>
      <c r="O48" s="473">
        <v>50</v>
      </c>
      <c r="P48" s="475">
        <f t="shared" ref="P48:P60" si="4">SUM(D48:O48)</f>
        <v>600</v>
      </c>
      <c r="Q48" s="476"/>
      <c r="R48" s="1"/>
      <c r="S48" s="1"/>
      <c r="T48" s="1"/>
      <c r="U48" s="1"/>
      <c r="V48" s="1"/>
      <c r="W48" s="1"/>
      <c r="X48" s="1"/>
      <c r="Y48" s="1"/>
      <c r="Z48" s="1"/>
    </row>
    <row r="49" spans="1:26" ht="14.4" customHeight="1">
      <c r="A49" s="1"/>
      <c r="B49" s="756"/>
      <c r="C49" s="474" t="s">
        <v>252</v>
      </c>
      <c r="D49" s="473">
        <v>15</v>
      </c>
      <c r="E49" s="473">
        <v>15</v>
      </c>
      <c r="F49" s="473">
        <v>15</v>
      </c>
      <c r="G49" s="473">
        <v>15</v>
      </c>
      <c r="H49" s="473">
        <v>15</v>
      </c>
      <c r="I49" s="473">
        <v>15</v>
      </c>
      <c r="J49" s="473">
        <v>15</v>
      </c>
      <c r="K49" s="473">
        <v>15</v>
      </c>
      <c r="L49" s="473">
        <v>15</v>
      </c>
      <c r="M49" s="473">
        <v>15</v>
      </c>
      <c r="N49" s="473">
        <v>15</v>
      </c>
      <c r="O49" s="473">
        <v>15</v>
      </c>
      <c r="P49" s="475">
        <f t="shared" si="4"/>
        <v>180</v>
      </c>
      <c r="Q49" s="476"/>
      <c r="R49" s="1"/>
      <c r="S49" s="1"/>
      <c r="T49" s="1"/>
      <c r="U49" s="1"/>
      <c r="V49" s="1"/>
      <c r="W49" s="1"/>
      <c r="X49" s="1"/>
      <c r="Y49" s="1"/>
      <c r="Z49" s="1"/>
    </row>
    <row r="50" spans="1:26" ht="14.4" customHeight="1">
      <c r="A50" s="1"/>
      <c r="B50" s="756"/>
      <c r="C50" s="474" t="s">
        <v>253</v>
      </c>
      <c r="D50" s="473">
        <v>60</v>
      </c>
      <c r="E50" s="473">
        <v>60</v>
      </c>
      <c r="F50" s="473">
        <v>60</v>
      </c>
      <c r="G50" s="473">
        <v>60</v>
      </c>
      <c r="H50" s="473">
        <v>60</v>
      </c>
      <c r="I50" s="473">
        <v>60</v>
      </c>
      <c r="J50" s="473">
        <v>60</v>
      </c>
      <c r="K50" s="473">
        <v>60</v>
      </c>
      <c r="L50" s="473">
        <v>60</v>
      </c>
      <c r="M50" s="473">
        <v>60</v>
      </c>
      <c r="N50" s="473">
        <v>60</v>
      </c>
      <c r="O50" s="473">
        <v>60</v>
      </c>
      <c r="P50" s="475">
        <f t="shared" si="4"/>
        <v>720</v>
      </c>
      <c r="Q50" s="476"/>
      <c r="R50" s="1"/>
      <c r="S50" s="1"/>
      <c r="T50" s="1"/>
      <c r="U50" s="1"/>
      <c r="V50" s="1"/>
      <c r="W50" s="1"/>
      <c r="X50" s="1"/>
      <c r="Y50" s="1"/>
      <c r="Z50" s="1"/>
    </row>
    <row r="51" spans="1:26" ht="14.4" customHeight="1">
      <c r="A51" s="1"/>
      <c r="B51" s="756"/>
      <c r="C51" s="474" t="s">
        <v>254</v>
      </c>
      <c r="D51" s="473">
        <v>60</v>
      </c>
      <c r="E51" s="473">
        <v>60</v>
      </c>
      <c r="F51" s="473">
        <v>60</v>
      </c>
      <c r="G51" s="473">
        <v>60</v>
      </c>
      <c r="H51" s="473">
        <v>60</v>
      </c>
      <c r="I51" s="473">
        <v>60</v>
      </c>
      <c r="J51" s="473">
        <v>60</v>
      </c>
      <c r="K51" s="473">
        <v>60</v>
      </c>
      <c r="L51" s="473">
        <v>60</v>
      </c>
      <c r="M51" s="473">
        <v>60</v>
      </c>
      <c r="N51" s="473">
        <v>60</v>
      </c>
      <c r="O51" s="473">
        <v>60</v>
      </c>
      <c r="P51" s="475">
        <f t="shared" si="4"/>
        <v>720</v>
      </c>
      <c r="Q51" s="476" t="s">
        <v>255</v>
      </c>
      <c r="R51" s="1"/>
      <c r="S51" s="1"/>
      <c r="T51" s="1"/>
      <c r="U51" s="1"/>
      <c r="V51" s="1"/>
      <c r="W51" s="1"/>
      <c r="X51" s="1"/>
      <c r="Y51" s="1"/>
      <c r="Z51" s="1"/>
    </row>
    <row r="52" spans="1:26" ht="14.4" customHeight="1">
      <c r="A52" s="1"/>
      <c r="B52" s="756"/>
      <c r="C52" s="474" t="s">
        <v>256</v>
      </c>
      <c r="D52" s="473">
        <v>500</v>
      </c>
      <c r="E52" s="473">
        <v>500</v>
      </c>
      <c r="F52" s="473">
        <v>500</v>
      </c>
      <c r="G52" s="473">
        <v>500</v>
      </c>
      <c r="H52" s="473">
        <v>500</v>
      </c>
      <c r="I52" s="473">
        <v>500</v>
      </c>
      <c r="J52" s="473">
        <v>500</v>
      </c>
      <c r="K52" s="473">
        <v>500</v>
      </c>
      <c r="L52" s="473">
        <v>500</v>
      </c>
      <c r="M52" s="473">
        <v>500</v>
      </c>
      <c r="N52" s="473">
        <v>500</v>
      </c>
      <c r="O52" s="473">
        <v>500</v>
      </c>
      <c r="P52" s="475">
        <f t="shared" si="4"/>
        <v>6000</v>
      </c>
      <c r="Q52" s="476" t="s">
        <v>257</v>
      </c>
      <c r="R52" s="1"/>
      <c r="S52" s="1"/>
      <c r="T52" s="1"/>
      <c r="U52" s="1"/>
      <c r="V52" s="1"/>
      <c r="W52" s="1"/>
      <c r="X52" s="1"/>
      <c r="Y52" s="1"/>
      <c r="Z52" s="1"/>
    </row>
    <row r="53" spans="1:26" ht="14.4" customHeight="1">
      <c r="A53" s="1"/>
      <c r="B53" s="752"/>
      <c r="C53" s="474" t="s">
        <v>258</v>
      </c>
      <c r="D53" s="473">
        <v>160</v>
      </c>
      <c r="E53" s="473">
        <v>160</v>
      </c>
      <c r="F53" s="473">
        <v>160</v>
      </c>
      <c r="G53" s="473">
        <v>160</v>
      </c>
      <c r="H53" s="473">
        <v>160</v>
      </c>
      <c r="I53" s="473">
        <v>160</v>
      </c>
      <c r="J53" s="473">
        <v>160</v>
      </c>
      <c r="K53" s="473">
        <v>160</v>
      </c>
      <c r="L53" s="473">
        <v>160</v>
      </c>
      <c r="M53" s="473">
        <v>160</v>
      </c>
      <c r="N53" s="473">
        <v>160</v>
      </c>
      <c r="O53" s="473">
        <v>160</v>
      </c>
      <c r="P53" s="475">
        <f t="shared" si="4"/>
        <v>1920</v>
      </c>
      <c r="Q53" s="476" t="s">
        <v>259</v>
      </c>
      <c r="R53" s="1"/>
      <c r="S53" s="1"/>
      <c r="T53" s="1"/>
      <c r="U53" s="1"/>
      <c r="V53" s="1"/>
      <c r="W53" s="1"/>
      <c r="X53" s="1"/>
      <c r="Y53" s="1"/>
      <c r="Z53" s="1"/>
    </row>
    <row r="54" spans="1:26" ht="14.4" customHeight="1">
      <c r="A54" s="1"/>
      <c r="B54" s="751" t="s">
        <v>260</v>
      </c>
      <c r="C54" s="474" t="s">
        <v>108</v>
      </c>
      <c r="D54" s="473">
        <v>700</v>
      </c>
      <c r="E54" s="473">
        <v>700</v>
      </c>
      <c r="F54" s="473">
        <v>700</v>
      </c>
      <c r="G54" s="473">
        <v>700</v>
      </c>
      <c r="H54" s="473">
        <v>700</v>
      </c>
      <c r="I54" s="473">
        <v>700</v>
      </c>
      <c r="J54" s="473">
        <v>700</v>
      </c>
      <c r="K54" s="473">
        <v>700</v>
      </c>
      <c r="L54" s="473">
        <v>700</v>
      </c>
      <c r="M54" s="473">
        <v>700</v>
      </c>
      <c r="N54" s="473">
        <v>700</v>
      </c>
      <c r="O54" s="473">
        <v>700</v>
      </c>
      <c r="P54" s="475">
        <f t="shared" si="4"/>
        <v>8400</v>
      </c>
      <c r="Q54" s="476" t="s">
        <v>261</v>
      </c>
      <c r="R54" s="1"/>
      <c r="S54" s="1"/>
      <c r="T54" s="1"/>
      <c r="U54" s="1"/>
      <c r="V54" s="1"/>
      <c r="W54" s="1"/>
      <c r="X54" s="1"/>
      <c r="Y54" s="1"/>
      <c r="Z54" s="1"/>
    </row>
    <row r="55" spans="1:26" ht="14.4" customHeight="1">
      <c r="A55" s="1"/>
      <c r="B55" s="752"/>
      <c r="C55" s="474" t="s">
        <v>262</v>
      </c>
      <c r="D55" s="473">
        <v>250</v>
      </c>
      <c r="E55" s="473">
        <v>250</v>
      </c>
      <c r="F55" s="473">
        <v>250</v>
      </c>
      <c r="G55" s="473">
        <v>250</v>
      </c>
      <c r="H55" s="473">
        <v>250</v>
      </c>
      <c r="I55" s="473">
        <v>250</v>
      </c>
      <c r="J55" s="473">
        <v>250</v>
      </c>
      <c r="K55" s="473">
        <v>250</v>
      </c>
      <c r="L55" s="473">
        <v>250</v>
      </c>
      <c r="M55" s="473">
        <v>250</v>
      </c>
      <c r="N55" s="473">
        <v>250</v>
      </c>
      <c r="O55" s="473">
        <v>250</v>
      </c>
      <c r="P55" s="475">
        <f t="shared" si="4"/>
        <v>3000</v>
      </c>
      <c r="Q55" s="476" t="s">
        <v>263</v>
      </c>
      <c r="R55" s="1"/>
      <c r="S55" s="1"/>
      <c r="T55" s="1"/>
      <c r="U55" s="1"/>
      <c r="V55" s="1"/>
      <c r="W55" s="1"/>
      <c r="X55" s="1"/>
      <c r="Y55" s="1"/>
      <c r="Z55" s="1"/>
    </row>
    <row r="56" spans="1:26" ht="14.4" customHeight="1">
      <c r="A56" s="1"/>
      <c r="B56" s="751" t="s">
        <v>264</v>
      </c>
      <c r="C56" s="474" t="s">
        <v>265</v>
      </c>
      <c r="D56" s="473">
        <v>500</v>
      </c>
      <c r="E56" s="473">
        <v>500</v>
      </c>
      <c r="F56" s="473">
        <v>500</v>
      </c>
      <c r="G56" s="473">
        <v>500</v>
      </c>
      <c r="H56" s="473">
        <v>500</v>
      </c>
      <c r="I56" s="473">
        <v>500</v>
      </c>
      <c r="J56" s="473">
        <v>500</v>
      </c>
      <c r="K56" s="473">
        <v>500</v>
      </c>
      <c r="L56" s="473">
        <v>500</v>
      </c>
      <c r="M56" s="473">
        <v>500</v>
      </c>
      <c r="N56" s="473">
        <v>500</v>
      </c>
      <c r="O56" s="473">
        <v>500</v>
      </c>
      <c r="P56" s="475">
        <f t="shared" si="4"/>
        <v>6000</v>
      </c>
      <c r="Q56" s="476" t="s">
        <v>266</v>
      </c>
      <c r="R56" s="1"/>
      <c r="S56" s="1"/>
      <c r="T56" s="1"/>
      <c r="U56" s="1"/>
      <c r="V56" s="1"/>
      <c r="W56" s="1"/>
      <c r="X56" s="1"/>
      <c r="Y56" s="1"/>
      <c r="Z56" s="1"/>
    </row>
    <row r="57" spans="1:26" ht="14.4" customHeight="1">
      <c r="A57" s="1"/>
      <c r="B57" s="752"/>
      <c r="C57" s="474" t="s">
        <v>267</v>
      </c>
      <c r="D57" s="473">
        <v>450</v>
      </c>
      <c r="E57" s="473">
        <v>450</v>
      </c>
      <c r="F57" s="473">
        <v>450</v>
      </c>
      <c r="G57" s="473">
        <v>450</v>
      </c>
      <c r="H57" s="473">
        <v>450</v>
      </c>
      <c r="I57" s="473">
        <v>450</v>
      </c>
      <c r="J57" s="473">
        <v>450</v>
      </c>
      <c r="K57" s="473">
        <v>450</v>
      </c>
      <c r="L57" s="473">
        <v>450</v>
      </c>
      <c r="M57" s="473">
        <v>450</v>
      </c>
      <c r="N57" s="473">
        <v>450</v>
      </c>
      <c r="O57" s="473">
        <v>450</v>
      </c>
      <c r="P57" s="475">
        <f t="shared" si="4"/>
        <v>5400</v>
      </c>
      <c r="Q57" s="476" t="s">
        <v>268</v>
      </c>
      <c r="R57" s="1"/>
      <c r="S57" s="1"/>
      <c r="T57" s="1"/>
      <c r="U57" s="1"/>
      <c r="V57" s="1"/>
      <c r="W57" s="1"/>
      <c r="X57" s="1"/>
      <c r="Y57" s="1"/>
      <c r="Z57" s="1"/>
    </row>
    <row r="58" spans="1:26" ht="14.4" customHeight="1">
      <c r="A58" s="1"/>
      <c r="B58" s="751" t="s">
        <v>269</v>
      </c>
      <c r="C58" s="474" t="s">
        <v>270</v>
      </c>
      <c r="D58" s="473">
        <v>300</v>
      </c>
      <c r="E58" s="473">
        <v>300</v>
      </c>
      <c r="F58" s="473">
        <v>300</v>
      </c>
      <c r="G58" s="473">
        <v>300</v>
      </c>
      <c r="H58" s="473">
        <v>300</v>
      </c>
      <c r="I58" s="473">
        <v>300</v>
      </c>
      <c r="J58" s="473">
        <v>300</v>
      </c>
      <c r="K58" s="473">
        <v>300</v>
      </c>
      <c r="L58" s="473">
        <v>300</v>
      </c>
      <c r="M58" s="473">
        <v>300</v>
      </c>
      <c r="N58" s="473">
        <v>300</v>
      </c>
      <c r="O58" s="473">
        <v>300</v>
      </c>
      <c r="P58" s="475">
        <f t="shared" si="4"/>
        <v>3600</v>
      </c>
      <c r="Q58" s="476" t="s">
        <v>271</v>
      </c>
      <c r="R58" s="1"/>
      <c r="S58" s="1"/>
      <c r="T58" s="1"/>
      <c r="U58" s="1"/>
      <c r="V58" s="1"/>
      <c r="W58" s="1"/>
      <c r="X58" s="1"/>
      <c r="Y58" s="1"/>
      <c r="Z58" s="1"/>
    </row>
    <row r="59" spans="1:26" ht="14.4" customHeight="1">
      <c r="A59" s="1"/>
      <c r="B59" s="752"/>
      <c r="C59" s="474" t="s">
        <v>272</v>
      </c>
      <c r="D59" s="473">
        <v>60</v>
      </c>
      <c r="E59" s="473">
        <v>60</v>
      </c>
      <c r="F59" s="473">
        <v>60</v>
      </c>
      <c r="G59" s="473">
        <v>60</v>
      </c>
      <c r="H59" s="473">
        <v>60</v>
      </c>
      <c r="I59" s="473">
        <v>60</v>
      </c>
      <c r="J59" s="473">
        <v>60</v>
      </c>
      <c r="K59" s="473">
        <v>60</v>
      </c>
      <c r="L59" s="473">
        <v>60</v>
      </c>
      <c r="M59" s="473">
        <v>60</v>
      </c>
      <c r="N59" s="473">
        <v>60</v>
      </c>
      <c r="O59" s="473">
        <v>60</v>
      </c>
      <c r="P59" s="475">
        <f t="shared" si="4"/>
        <v>720</v>
      </c>
      <c r="Q59" s="476"/>
      <c r="R59" s="1"/>
      <c r="S59" s="1"/>
      <c r="T59" s="1"/>
      <c r="U59" s="1"/>
      <c r="V59" s="1"/>
      <c r="W59" s="1"/>
      <c r="X59" s="1"/>
      <c r="Y59" s="1"/>
      <c r="Z59" s="1"/>
    </row>
    <row r="60" spans="1:26" ht="14.4" customHeight="1">
      <c r="A60" s="1"/>
      <c r="B60" s="477" t="s">
        <v>273</v>
      </c>
      <c r="C60" s="478"/>
      <c r="D60" s="479">
        <f t="shared" ref="D60:O60" si="5">SUM(D48:D59)</f>
        <v>3105</v>
      </c>
      <c r="E60" s="479">
        <f t="shared" si="5"/>
        <v>3105</v>
      </c>
      <c r="F60" s="479">
        <f t="shared" si="5"/>
        <v>3105</v>
      </c>
      <c r="G60" s="479">
        <f t="shared" si="5"/>
        <v>3105</v>
      </c>
      <c r="H60" s="479">
        <f t="shared" si="5"/>
        <v>3105</v>
      </c>
      <c r="I60" s="479">
        <f t="shared" si="5"/>
        <v>3105</v>
      </c>
      <c r="J60" s="479">
        <f t="shared" si="5"/>
        <v>3105</v>
      </c>
      <c r="K60" s="479">
        <f t="shared" si="5"/>
        <v>3105</v>
      </c>
      <c r="L60" s="479">
        <f t="shared" si="5"/>
        <v>3105</v>
      </c>
      <c r="M60" s="479">
        <f t="shared" si="5"/>
        <v>3105</v>
      </c>
      <c r="N60" s="479">
        <f t="shared" si="5"/>
        <v>3105</v>
      </c>
      <c r="O60" s="479">
        <f t="shared" si="5"/>
        <v>3105</v>
      </c>
      <c r="P60" s="479">
        <f t="shared" si="4"/>
        <v>37260</v>
      </c>
      <c r="Q60" s="478"/>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sheetData>
  <mergeCells count="15">
    <mergeCell ref="B56:B57"/>
    <mergeCell ref="C3:E3"/>
    <mergeCell ref="B38:B39"/>
    <mergeCell ref="G3:I3"/>
    <mergeCell ref="B58:B59"/>
    <mergeCell ref="B40:B41"/>
    <mergeCell ref="G7:I7"/>
    <mergeCell ref="B21:B22"/>
    <mergeCell ref="B19:B20"/>
    <mergeCell ref="B54:B55"/>
    <mergeCell ref="B23:B24"/>
    <mergeCell ref="B13:B18"/>
    <mergeCell ref="B30:B35"/>
    <mergeCell ref="B36:B37"/>
    <mergeCell ref="B48:B53"/>
  </mergeCell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78"/>
  <sheetViews>
    <sheetView workbookViewId="0">
      <pane xSplit="3" ySplit="1" topLeftCell="D2" activePane="bottomRight" state="frozen"/>
      <selection pane="topRight"/>
      <selection pane="bottomLeft" activeCell="A2" sqref="A2"/>
      <selection pane="bottomRight" activeCell="B70" sqref="B70:B75"/>
    </sheetView>
  </sheetViews>
  <sheetFormatPr defaultColWidth="12.59765625" defaultRowHeight="15" customHeight="1"/>
  <cols>
    <col min="1" max="1" width="13" customWidth="1"/>
    <col min="2" max="2" width="42" customWidth="1"/>
    <col min="3" max="4" width="14" customWidth="1"/>
    <col min="5" max="5" width="12.8984375" customWidth="1"/>
    <col min="6" max="6" width="16" customWidth="1"/>
    <col min="7" max="7" width="12.8984375" customWidth="1"/>
    <col min="8" max="8" width="15.59765625" customWidth="1"/>
    <col min="9" max="9" width="13" customWidth="1"/>
    <col min="10" max="10" width="13.09765625" customWidth="1"/>
    <col min="11" max="11" width="12.8984375" customWidth="1"/>
    <col min="12" max="12" width="7.69921875" customWidth="1"/>
    <col min="13" max="13" width="12.8984375" customWidth="1"/>
    <col min="14" max="14" width="7.69921875" customWidth="1"/>
    <col min="15" max="15" width="12.8984375" customWidth="1"/>
    <col min="16" max="16" width="7.69921875" customWidth="1"/>
    <col min="17" max="17" width="12.8984375" customWidth="1"/>
    <col min="18" max="18" width="7.69921875" customWidth="1"/>
    <col min="19" max="19" width="12.8984375" customWidth="1"/>
    <col min="20" max="20" width="9.69921875" customWidth="1"/>
    <col min="21" max="21" width="13" customWidth="1"/>
    <col min="22" max="22" width="7.69921875" customWidth="1"/>
    <col min="23" max="23" width="12.8984375" customWidth="1"/>
    <col min="24" max="24" width="9.5" customWidth="1"/>
    <col min="25" max="25" width="12.8984375" customWidth="1"/>
    <col min="26" max="26" width="8.69921875" customWidth="1"/>
    <col min="27" max="27" width="11.5" customWidth="1"/>
    <col min="28" max="28" width="16" customWidth="1"/>
  </cols>
  <sheetData>
    <row r="1" spans="1:28" ht="46.2" customHeight="1">
      <c r="A1" s="8"/>
      <c r="B1" s="8"/>
      <c r="C1" s="8"/>
      <c r="D1" s="8"/>
      <c r="E1" s="8"/>
      <c r="F1" s="468" t="s">
        <v>12</v>
      </c>
      <c r="G1" s="202"/>
      <c r="H1" s="202"/>
      <c r="I1" s="8"/>
      <c r="J1" s="8"/>
      <c r="K1" s="8"/>
      <c r="L1" s="8"/>
      <c r="M1" s="1"/>
      <c r="N1" s="1"/>
      <c r="O1" s="1"/>
      <c r="P1" s="1"/>
      <c r="Q1" s="1"/>
      <c r="R1" s="1"/>
      <c r="S1" s="1"/>
      <c r="T1" s="1"/>
      <c r="U1" s="1"/>
      <c r="V1" s="1"/>
      <c r="W1" s="1"/>
      <c r="X1" s="1"/>
      <c r="Y1" s="1"/>
      <c r="Z1" s="1"/>
      <c r="AA1" s="1"/>
      <c r="AB1" s="1"/>
    </row>
    <row r="2" spans="1:28" ht="1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spans="1:28" ht="15" customHeight="1">
      <c r="A4" s="1"/>
      <c r="B4" s="753" t="s">
        <v>72</v>
      </c>
      <c r="C4" s="754"/>
      <c r="D4" s="755"/>
      <c r="E4" s="25"/>
      <c r="F4" s="1"/>
      <c r="G4" s="1"/>
      <c r="H4" s="753" t="s">
        <v>276</v>
      </c>
      <c r="I4" s="754"/>
      <c r="J4" s="755"/>
      <c r="K4" s="1"/>
      <c r="L4" s="1"/>
      <c r="M4" s="1"/>
      <c r="N4" s="1"/>
      <c r="O4" s="1"/>
      <c r="P4" s="1"/>
      <c r="Q4" s="1"/>
      <c r="R4" s="1"/>
      <c r="S4" s="1"/>
      <c r="T4" s="1"/>
      <c r="U4" s="1"/>
      <c r="V4" s="1"/>
      <c r="W4" s="1"/>
      <c r="X4" s="1"/>
      <c r="Y4" s="1"/>
      <c r="Z4" s="1"/>
      <c r="AA4" s="1"/>
      <c r="AB4" s="1"/>
    </row>
    <row r="5" spans="1:28" ht="15" customHeight="1">
      <c r="A5" s="1"/>
      <c r="B5" s="470">
        <v>2026</v>
      </c>
      <c r="C5" s="470">
        <v>2027</v>
      </c>
      <c r="D5" s="470">
        <v>2028</v>
      </c>
      <c r="E5" s="201"/>
      <c r="F5" s="1"/>
      <c r="G5" s="1"/>
      <c r="H5" s="470">
        <v>2026</v>
      </c>
      <c r="I5" s="470">
        <v>2027</v>
      </c>
      <c r="J5" s="470">
        <v>2028</v>
      </c>
      <c r="K5" s="1"/>
      <c r="L5" s="1"/>
      <c r="M5" s="1"/>
      <c r="N5" s="1"/>
      <c r="O5" s="1"/>
      <c r="P5" s="1"/>
      <c r="Q5" s="1"/>
      <c r="R5" s="1"/>
      <c r="S5" s="1"/>
      <c r="T5" s="1"/>
      <c r="U5" s="1"/>
      <c r="V5" s="1"/>
      <c r="W5" s="1"/>
      <c r="X5" s="1"/>
      <c r="Y5" s="1"/>
      <c r="Z5" s="1"/>
      <c r="AA5" s="1"/>
      <c r="AB5" s="1"/>
    </row>
    <row r="6" spans="1:28" ht="15" customHeight="1">
      <c r="A6" s="1"/>
      <c r="B6" s="471">
        <f>Hipótesis!C24</f>
        <v>0.03</v>
      </c>
      <c r="C6" s="471">
        <f>Hipótesis!C25</f>
        <v>0.08</v>
      </c>
      <c r="D6" s="471">
        <f>Hipótesis!C26</f>
        <v>0.15</v>
      </c>
      <c r="E6" s="234"/>
      <c r="F6" s="1"/>
      <c r="G6" s="1"/>
      <c r="H6" s="472">
        <f>AB32</f>
        <v>5402</v>
      </c>
      <c r="I6" s="472">
        <f>AB55</f>
        <v>11065.9</v>
      </c>
      <c r="J6" s="472">
        <f>AB78</f>
        <v>17774.300000000003</v>
      </c>
      <c r="K6" s="1"/>
      <c r="L6" s="1"/>
      <c r="M6" s="1"/>
      <c r="N6" s="1"/>
      <c r="O6" s="1"/>
      <c r="P6" s="1"/>
      <c r="Q6" s="1"/>
      <c r="R6" s="1"/>
      <c r="S6" s="1"/>
      <c r="T6" s="1"/>
      <c r="U6" s="1"/>
      <c r="V6" s="1"/>
      <c r="W6" s="1"/>
      <c r="X6" s="1"/>
      <c r="Y6" s="1"/>
      <c r="Z6" s="1"/>
      <c r="AA6" s="1"/>
      <c r="AB6" s="1"/>
    </row>
    <row r="7" spans="1:28" ht="15" customHeight="1">
      <c r="A7" s="1"/>
      <c r="B7" s="473">
        <f>Hipótesis!D24</f>
        <v>48960</v>
      </c>
      <c r="C7" s="473">
        <f>Hipótesis!D25</f>
        <v>130560</v>
      </c>
      <c r="D7" s="473">
        <f>Hipótesis!D26</f>
        <v>244800</v>
      </c>
      <c r="E7" s="232"/>
      <c r="F7" s="1"/>
      <c r="G7" s="1"/>
      <c r="H7" s="1"/>
      <c r="I7" s="1"/>
      <c r="J7" s="1"/>
      <c r="K7" s="1"/>
      <c r="L7" s="1"/>
      <c r="M7" s="1"/>
      <c r="N7" s="1"/>
      <c r="O7" s="1"/>
      <c r="P7" s="1"/>
      <c r="Q7" s="1"/>
      <c r="R7" s="1"/>
      <c r="S7" s="1"/>
      <c r="T7" s="1"/>
      <c r="U7" s="1"/>
      <c r="V7" s="1"/>
      <c r="W7" s="1"/>
      <c r="X7" s="1"/>
      <c r="Y7" s="1"/>
      <c r="Z7" s="1"/>
      <c r="AA7" s="1"/>
      <c r="AB7" s="1"/>
    </row>
    <row r="8" spans="1:28" ht="15" customHeight="1">
      <c r="A8" s="1"/>
      <c r="B8" s="1"/>
      <c r="C8" s="1"/>
      <c r="D8" s="1"/>
      <c r="E8" s="1"/>
      <c r="F8" s="1"/>
      <c r="G8" s="1"/>
      <c r="H8" s="753" t="s">
        <v>277</v>
      </c>
      <c r="I8" s="754"/>
      <c r="J8" s="755"/>
      <c r="K8" s="1"/>
      <c r="L8" s="1"/>
      <c r="M8" s="1"/>
      <c r="N8" s="1"/>
      <c r="O8" s="1"/>
      <c r="P8" s="1"/>
      <c r="Q8" s="1"/>
      <c r="R8" s="1"/>
      <c r="S8" s="1"/>
      <c r="T8" s="1"/>
      <c r="U8" s="1"/>
      <c r="V8" s="1"/>
      <c r="W8" s="1"/>
      <c r="X8" s="1"/>
      <c r="Y8" s="1"/>
      <c r="Z8" s="1"/>
      <c r="AA8" s="1"/>
      <c r="AB8" s="1"/>
    </row>
    <row r="9" spans="1:28" ht="15" customHeight="1">
      <c r="A9" s="1"/>
      <c r="B9" s="1"/>
      <c r="C9" s="1"/>
      <c r="D9" s="1"/>
      <c r="E9" s="1"/>
      <c r="F9" s="1"/>
      <c r="G9" s="1"/>
      <c r="H9" s="470">
        <v>2026</v>
      </c>
      <c r="I9" s="470">
        <v>2027</v>
      </c>
      <c r="J9" s="470">
        <v>2028</v>
      </c>
      <c r="K9" s="1"/>
      <c r="L9" s="1"/>
      <c r="M9" s="1"/>
      <c r="N9" s="1"/>
      <c r="O9" s="1"/>
      <c r="P9" s="1"/>
      <c r="Q9" s="1"/>
      <c r="R9" s="1"/>
      <c r="S9" s="1"/>
      <c r="T9" s="1"/>
      <c r="U9" s="1"/>
      <c r="V9" s="1"/>
      <c r="W9" s="1"/>
      <c r="X9" s="1"/>
      <c r="Y9" s="1"/>
      <c r="Z9" s="1"/>
      <c r="AA9" s="1"/>
      <c r="AB9" s="1"/>
    </row>
    <row r="10" spans="1:28" ht="15" customHeight="1">
      <c r="A10" s="1"/>
      <c r="B10" s="1"/>
      <c r="C10" s="1"/>
      <c r="D10" s="1"/>
      <c r="E10" s="1"/>
      <c r="F10" s="1"/>
      <c r="G10" s="1"/>
      <c r="H10" s="472">
        <f>SUM(AB21:AB24)</f>
        <v>2401</v>
      </c>
      <c r="I10" s="472">
        <f>SUM(AB44:AB47)</f>
        <v>4013.5</v>
      </c>
      <c r="J10" s="472">
        <f>SUM(AB67:AB70)</f>
        <v>5616.5</v>
      </c>
      <c r="K10" s="1"/>
      <c r="L10" s="1"/>
      <c r="M10" s="1"/>
      <c r="N10" s="1"/>
      <c r="O10" s="1"/>
      <c r="P10" s="1"/>
      <c r="Q10" s="1"/>
      <c r="R10" s="1"/>
      <c r="S10" s="1"/>
      <c r="T10" s="1"/>
      <c r="U10" s="1"/>
      <c r="V10" s="1"/>
      <c r="W10" s="1"/>
      <c r="X10" s="1"/>
      <c r="Y10" s="1"/>
      <c r="Z10" s="1"/>
      <c r="AA10" s="1"/>
      <c r="AB10" s="1"/>
    </row>
    <row r="11" spans="1:28"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ht="15" customHeight="1">
      <c r="A12" s="1"/>
      <c r="B12" s="469" t="s">
        <v>278</v>
      </c>
    </row>
    <row r="13" spans="1:28" ht="15" customHeight="1">
      <c r="A13" s="470" t="s">
        <v>247</v>
      </c>
      <c r="B13" s="470" t="s">
        <v>173</v>
      </c>
      <c r="C13" s="470" t="s">
        <v>279</v>
      </c>
      <c r="D13" s="757" t="s">
        <v>79</v>
      </c>
      <c r="E13" s="758"/>
      <c r="F13" s="757" t="s">
        <v>80</v>
      </c>
      <c r="G13" s="758"/>
      <c r="H13" s="757" t="s">
        <v>81</v>
      </c>
      <c r="I13" s="758"/>
      <c r="J13" s="757" t="s">
        <v>82</v>
      </c>
      <c r="K13" s="758"/>
      <c r="L13" s="757" t="s">
        <v>83</v>
      </c>
      <c r="M13" s="758"/>
      <c r="N13" s="757" t="s">
        <v>84</v>
      </c>
      <c r="O13" s="758"/>
      <c r="P13" s="757" t="s">
        <v>85</v>
      </c>
      <c r="Q13" s="758"/>
      <c r="R13" s="757" t="s">
        <v>86</v>
      </c>
      <c r="S13" s="758"/>
      <c r="T13" s="757" t="s">
        <v>87</v>
      </c>
      <c r="U13" s="758"/>
      <c r="V13" s="757" t="s">
        <v>88</v>
      </c>
      <c r="W13" s="758"/>
      <c r="X13" s="757" t="s">
        <v>89</v>
      </c>
      <c r="Y13" s="758"/>
      <c r="Z13" s="757" t="s">
        <v>90</v>
      </c>
      <c r="AA13" s="758"/>
      <c r="AB13" s="757" t="s">
        <v>248</v>
      </c>
    </row>
    <row r="14" spans="1:28" ht="15" customHeight="1">
      <c r="A14" s="480"/>
      <c r="B14" s="480"/>
      <c r="C14" s="480"/>
      <c r="D14" s="480" t="s">
        <v>280</v>
      </c>
      <c r="E14" s="480" t="s">
        <v>281</v>
      </c>
      <c r="F14" s="480" t="s">
        <v>280</v>
      </c>
      <c r="G14" s="480" t="s">
        <v>281</v>
      </c>
      <c r="H14" s="480" t="s">
        <v>280</v>
      </c>
      <c r="I14" s="480" t="s">
        <v>281</v>
      </c>
      <c r="J14" s="480" t="s">
        <v>280</v>
      </c>
      <c r="K14" s="480" t="s">
        <v>281</v>
      </c>
      <c r="L14" s="480" t="s">
        <v>280</v>
      </c>
      <c r="M14" s="480" t="s">
        <v>281</v>
      </c>
      <c r="N14" s="480" t="s">
        <v>280</v>
      </c>
      <c r="O14" s="480" t="s">
        <v>281</v>
      </c>
      <c r="P14" s="480" t="s">
        <v>280</v>
      </c>
      <c r="Q14" s="480" t="s">
        <v>281</v>
      </c>
      <c r="R14" s="480" t="s">
        <v>280</v>
      </c>
      <c r="S14" s="480" t="s">
        <v>281</v>
      </c>
      <c r="T14" s="480" t="s">
        <v>280</v>
      </c>
      <c r="U14" s="480" t="s">
        <v>281</v>
      </c>
      <c r="V14" s="480" t="s">
        <v>280</v>
      </c>
      <c r="W14" s="480" t="s">
        <v>281</v>
      </c>
      <c r="X14" s="480" t="s">
        <v>280</v>
      </c>
      <c r="Y14" s="480" t="s">
        <v>281</v>
      </c>
      <c r="Z14" s="480" t="s">
        <v>280</v>
      </c>
      <c r="AA14" s="480" t="s">
        <v>281</v>
      </c>
      <c r="AB14" s="752"/>
    </row>
    <row r="15" spans="1:28" ht="15" customHeight="1">
      <c r="A15" s="751" t="s">
        <v>282</v>
      </c>
      <c r="B15" s="474" t="s">
        <v>283</v>
      </c>
      <c r="C15" s="481">
        <v>15</v>
      </c>
      <c r="D15" s="482">
        <f>'Proy. ventas'!E19+'Proy. ventas'!E20+'Proy. ventas'!E21</f>
        <v>0</v>
      </c>
      <c r="E15" s="473">
        <f t="shared" ref="E15:E24" si="0">D15*$C15</f>
        <v>0</v>
      </c>
      <c r="F15" s="482">
        <f>'Proy. ventas'!G19+'Proy. ventas'!G20+'Proy. ventas'!G21</f>
        <v>2</v>
      </c>
      <c r="G15" s="473">
        <f t="shared" ref="G15:G24" si="1">F15*$C15</f>
        <v>30</v>
      </c>
      <c r="H15" s="482">
        <f>'Proy. ventas'!I19+'Proy. ventas'!I20+'Proy. ventas'!I21</f>
        <v>4</v>
      </c>
      <c r="I15" s="473">
        <f t="shared" ref="I15:I24" si="2">H15*$C15</f>
        <v>60</v>
      </c>
      <c r="J15" s="482">
        <f>'Proy. ventas'!K19+'Proy. ventas'!K20+'Proy. ventas'!K21</f>
        <v>6</v>
      </c>
      <c r="K15" s="473">
        <f t="shared" ref="K15:K24" si="3">J15*$C15</f>
        <v>90</v>
      </c>
      <c r="L15" s="482">
        <f>'Proy. ventas'!M19+'Proy. ventas'!M20+'Proy. ventas'!M21</f>
        <v>8</v>
      </c>
      <c r="M15" s="473">
        <f t="shared" ref="M15:M24" si="4">L15*$C15</f>
        <v>120</v>
      </c>
      <c r="N15" s="482">
        <f>'Proy. ventas'!O19+'Proy. ventas'!O20+'Proy. ventas'!O21</f>
        <v>9</v>
      </c>
      <c r="O15" s="473">
        <f t="shared" ref="O15:O24" si="5">N15*$C15</f>
        <v>135</v>
      </c>
      <c r="P15" s="482">
        <f>'Proy. ventas'!Q19+'Proy. ventas'!Q20+'Proy. ventas'!Q21</f>
        <v>10</v>
      </c>
      <c r="Q15" s="473">
        <f t="shared" ref="Q15:Q24" si="6">P15*$C15</f>
        <v>150</v>
      </c>
      <c r="R15" s="482">
        <f>'Proy. ventas'!S19+'Proy. ventas'!S20+'Proy. ventas'!S21</f>
        <v>11</v>
      </c>
      <c r="S15" s="473">
        <f t="shared" ref="S15:S24" si="7">R15*$C15</f>
        <v>165</v>
      </c>
      <c r="T15" s="482">
        <f>'Proy. ventas'!U19+'Proy. ventas'!U20+'Proy. ventas'!U21</f>
        <v>12</v>
      </c>
      <c r="U15" s="473">
        <f t="shared" ref="U15:U24" si="8">T15*$C15</f>
        <v>180</v>
      </c>
      <c r="V15" s="482">
        <f>'Proy. ventas'!W19+'Proy. ventas'!W20+'Proy. ventas'!W21</f>
        <v>13</v>
      </c>
      <c r="W15" s="473">
        <f t="shared" ref="W15:W24" si="9">V15*$C15</f>
        <v>195</v>
      </c>
      <c r="X15" s="482">
        <f>'Proy. ventas'!Y19+'Proy. ventas'!Y20+'Proy. ventas'!Y21</f>
        <v>13</v>
      </c>
      <c r="Y15" s="473">
        <f t="shared" ref="Y15:Y24" si="10">X15*$C15</f>
        <v>195</v>
      </c>
      <c r="Z15" s="482">
        <f>'Proy. ventas'!AA19+'Proy. ventas'!AA20+'Proy. ventas'!AA21</f>
        <v>14</v>
      </c>
      <c r="AA15" s="473">
        <f t="shared" ref="AA15:AA24" si="11">Z15*$C15</f>
        <v>210</v>
      </c>
      <c r="AB15" s="475">
        <f t="shared" ref="AB15:AB24" si="12">E15+G15+I15+K15+M15+O15+Q15+S15+U15+W15+Y15+AA15</f>
        <v>1530</v>
      </c>
    </row>
    <row r="16" spans="1:28" ht="15" customHeight="1">
      <c r="A16" s="756"/>
      <c r="B16" s="474" t="s">
        <v>284</v>
      </c>
      <c r="C16" s="481">
        <v>5</v>
      </c>
      <c r="D16" s="482">
        <f>'Proy. ventas'!E20+'Proy. ventas'!E21</f>
        <v>0</v>
      </c>
      <c r="E16" s="473">
        <f t="shared" si="0"/>
        <v>0</v>
      </c>
      <c r="F16" s="482">
        <f>'Proy. ventas'!G20+'Proy. ventas'!G21</f>
        <v>1</v>
      </c>
      <c r="G16" s="473">
        <f t="shared" si="1"/>
        <v>5</v>
      </c>
      <c r="H16" s="482">
        <f>'Proy. ventas'!I20+'Proy. ventas'!I21</f>
        <v>3</v>
      </c>
      <c r="I16" s="473">
        <f t="shared" si="2"/>
        <v>15</v>
      </c>
      <c r="J16" s="482">
        <f>'Proy. ventas'!K20+'Proy. ventas'!K21</f>
        <v>4</v>
      </c>
      <c r="K16" s="473">
        <f t="shared" si="3"/>
        <v>20</v>
      </c>
      <c r="L16" s="482">
        <f>'Proy. ventas'!M20+'Proy. ventas'!M21</f>
        <v>6</v>
      </c>
      <c r="M16" s="473">
        <f t="shared" si="4"/>
        <v>30</v>
      </c>
      <c r="N16" s="482">
        <f>'Proy. ventas'!O20+'Proy. ventas'!O21</f>
        <v>6</v>
      </c>
      <c r="O16" s="473">
        <f t="shared" si="5"/>
        <v>30</v>
      </c>
      <c r="P16" s="482">
        <f>'Proy. ventas'!Q20+'Proy. ventas'!Q21</f>
        <v>7</v>
      </c>
      <c r="Q16" s="473">
        <f t="shared" si="6"/>
        <v>35</v>
      </c>
      <c r="R16" s="482">
        <f>'Proy. ventas'!S20+'Proy. ventas'!S21</f>
        <v>8</v>
      </c>
      <c r="S16" s="473">
        <f t="shared" si="7"/>
        <v>40</v>
      </c>
      <c r="T16" s="482">
        <f>'Proy. ventas'!U20+'Proy. ventas'!U21</f>
        <v>8</v>
      </c>
      <c r="U16" s="473">
        <f t="shared" si="8"/>
        <v>40</v>
      </c>
      <c r="V16" s="482">
        <f>'Proy. ventas'!W20+'Proy. ventas'!W21</f>
        <v>9</v>
      </c>
      <c r="W16" s="473">
        <f t="shared" si="9"/>
        <v>45</v>
      </c>
      <c r="X16" s="482">
        <f>'Proy. ventas'!Y20+'Proy. ventas'!Y21</f>
        <v>9</v>
      </c>
      <c r="Y16" s="473">
        <f t="shared" si="10"/>
        <v>45</v>
      </c>
      <c r="Z16" s="482">
        <f>'Proy. ventas'!AA20+'Proy. ventas'!AA21</f>
        <v>11</v>
      </c>
      <c r="AA16" s="473">
        <f t="shared" si="11"/>
        <v>55</v>
      </c>
      <c r="AB16" s="475">
        <f t="shared" si="12"/>
        <v>360</v>
      </c>
    </row>
    <row r="17" spans="1:28" ht="15" customHeight="1">
      <c r="A17" s="756"/>
      <c r="B17" s="474" t="s">
        <v>285</v>
      </c>
      <c r="C17" s="481">
        <v>0.35</v>
      </c>
      <c r="D17" s="482">
        <f>'Proy. ventas'!E22+'Proy. ventas'!E23+'Proy. ventas'!E24</f>
        <v>0</v>
      </c>
      <c r="E17" s="473">
        <f t="shared" si="0"/>
        <v>0</v>
      </c>
      <c r="F17" s="482">
        <f>'Proy. ventas'!G22+'Proy. ventas'!G23+'Proy. ventas'!G24</f>
        <v>2</v>
      </c>
      <c r="G17" s="473">
        <f t="shared" si="1"/>
        <v>0.7</v>
      </c>
      <c r="H17" s="482">
        <f>'Proy. ventas'!I22+'Proy. ventas'!I23+'Proy. ventas'!I24</f>
        <v>6</v>
      </c>
      <c r="I17" s="473">
        <f t="shared" si="2"/>
        <v>2.0999999999999996</v>
      </c>
      <c r="J17" s="482">
        <f>'Proy. ventas'!K22+'Proy. ventas'!K23+'Proy. ventas'!K24</f>
        <v>12</v>
      </c>
      <c r="K17" s="473">
        <f t="shared" si="3"/>
        <v>4.1999999999999993</v>
      </c>
      <c r="L17" s="482">
        <f>'Proy. ventas'!M22+'Proy. ventas'!M23+'Proy. ventas'!M24</f>
        <v>20</v>
      </c>
      <c r="M17" s="473">
        <f t="shared" si="4"/>
        <v>7</v>
      </c>
      <c r="N17" s="482">
        <f>'Proy. ventas'!O22+'Proy. ventas'!O23+'Proy. ventas'!O24</f>
        <v>29</v>
      </c>
      <c r="O17" s="473">
        <f t="shared" si="5"/>
        <v>10.149999999999999</v>
      </c>
      <c r="P17" s="482">
        <f>'Proy. ventas'!Q22+'Proy. ventas'!Q23+'Proy. ventas'!Q24</f>
        <v>39</v>
      </c>
      <c r="Q17" s="473">
        <f t="shared" si="6"/>
        <v>13.649999999999999</v>
      </c>
      <c r="R17" s="482">
        <f>'Proy. ventas'!S22+'Proy. ventas'!S23+'Proy. ventas'!S24</f>
        <v>50</v>
      </c>
      <c r="S17" s="473">
        <f t="shared" si="7"/>
        <v>17.5</v>
      </c>
      <c r="T17" s="482">
        <f>'Proy. ventas'!U22+'Proy. ventas'!U23+'Proy. ventas'!U24</f>
        <v>62</v>
      </c>
      <c r="U17" s="473">
        <f t="shared" si="8"/>
        <v>21.7</v>
      </c>
      <c r="V17" s="482">
        <f>'Proy. ventas'!W22+'Proy. ventas'!W23+'Proy. ventas'!W24</f>
        <v>75</v>
      </c>
      <c r="W17" s="473">
        <f t="shared" si="9"/>
        <v>26.25</v>
      </c>
      <c r="X17" s="482">
        <f>'Proy. ventas'!Y22+'Proy. ventas'!Y23+'Proy. ventas'!Y24</f>
        <v>88</v>
      </c>
      <c r="Y17" s="473">
        <f t="shared" si="10"/>
        <v>30.799999999999997</v>
      </c>
      <c r="Z17" s="482">
        <f>'Proy. ventas'!AA22+'Proy. ventas'!AA23+'Proy. ventas'!AA24</f>
        <v>102</v>
      </c>
      <c r="AA17" s="473">
        <f t="shared" si="11"/>
        <v>35.699999999999996</v>
      </c>
      <c r="AB17" s="475">
        <f t="shared" si="12"/>
        <v>169.75</v>
      </c>
    </row>
    <row r="18" spans="1:28" ht="15" customHeight="1">
      <c r="A18" s="756"/>
      <c r="B18" s="474" t="s">
        <v>286</v>
      </c>
      <c r="C18" s="481">
        <v>0.15</v>
      </c>
      <c r="D18" s="482">
        <f>'Proy. ventas'!E22+'Proy. ventas'!E23+'Proy. ventas'!E24</f>
        <v>0</v>
      </c>
      <c r="E18" s="473">
        <f t="shared" si="0"/>
        <v>0</v>
      </c>
      <c r="F18" s="482">
        <f>'Proy. ventas'!G22+'Proy. ventas'!G23+'Proy. ventas'!G24</f>
        <v>2</v>
      </c>
      <c r="G18" s="473">
        <f t="shared" si="1"/>
        <v>0.3</v>
      </c>
      <c r="H18" s="482">
        <f>'Proy. ventas'!I22+'Proy. ventas'!I23+'Proy. ventas'!I24</f>
        <v>6</v>
      </c>
      <c r="I18" s="473">
        <f t="shared" si="2"/>
        <v>0.89999999999999991</v>
      </c>
      <c r="J18" s="482">
        <f>'Proy. ventas'!K22+'Proy. ventas'!K23+'Proy. ventas'!K24</f>
        <v>12</v>
      </c>
      <c r="K18" s="473">
        <f t="shared" si="3"/>
        <v>1.7999999999999998</v>
      </c>
      <c r="L18" s="482">
        <f>'Proy. ventas'!M22+'Proy. ventas'!M23+'Proy. ventas'!M24</f>
        <v>20</v>
      </c>
      <c r="M18" s="473">
        <f t="shared" si="4"/>
        <v>3</v>
      </c>
      <c r="N18" s="482">
        <f>'Proy. ventas'!O22+'Proy. ventas'!O23+'Proy. ventas'!O24</f>
        <v>29</v>
      </c>
      <c r="O18" s="473">
        <f t="shared" si="5"/>
        <v>4.3499999999999996</v>
      </c>
      <c r="P18" s="482">
        <f>'Proy. ventas'!Q22+'Proy. ventas'!Q23+'Proy. ventas'!Q24</f>
        <v>39</v>
      </c>
      <c r="Q18" s="473">
        <f t="shared" si="6"/>
        <v>5.85</v>
      </c>
      <c r="R18" s="482">
        <f>'Proy. ventas'!S22+'Proy. ventas'!S23+'Proy. ventas'!S24</f>
        <v>50</v>
      </c>
      <c r="S18" s="473">
        <f t="shared" si="7"/>
        <v>7.5</v>
      </c>
      <c r="T18" s="482">
        <f>'Proy. ventas'!U22+'Proy. ventas'!U23+'Proy. ventas'!U24</f>
        <v>62</v>
      </c>
      <c r="U18" s="473">
        <f t="shared" si="8"/>
        <v>9.2999999999999989</v>
      </c>
      <c r="V18" s="482">
        <f>'Proy. ventas'!W22+'Proy. ventas'!W23+'Proy. ventas'!W24</f>
        <v>75</v>
      </c>
      <c r="W18" s="473">
        <f t="shared" si="9"/>
        <v>11.25</v>
      </c>
      <c r="X18" s="482">
        <f>'Proy. ventas'!Y22+'Proy. ventas'!Y23+'Proy. ventas'!Y24</f>
        <v>88</v>
      </c>
      <c r="Y18" s="473">
        <f t="shared" si="10"/>
        <v>13.2</v>
      </c>
      <c r="Z18" s="482">
        <f>'Proy. ventas'!AA22+'Proy. ventas'!AA23+'Proy. ventas'!AA24</f>
        <v>102</v>
      </c>
      <c r="AA18" s="473">
        <f t="shared" si="11"/>
        <v>15.299999999999999</v>
      </c>
      <c r="AB18" s="475">
        <f t="shared" si="12"/>
        <v>72.75</v>
      </c>
    </row>
    <row r="19" spans="1:28" ht="15" customHeight="1">
      <c r="A19" s="756"/>
      <c r="B19" s="474" t="s">
        <v>287</v>
      </c>
      <c r="C19" s="481">
        <v>0.9</v>
      </c>
      <c r="D19" s="482">
        <f>'Proy. ventas'!E22+'Proy. ventas'!E23+'Proy. ventas'!E24</f>
        <v>0</v>
      </c>
      <c r="E19" s="473">
        <f t="shared" si="0"/>
        <v>0</v>
      </c>
      <c r="F19" s="482">
        <f>'Proy. ventas'!G22+'Proy. ventas'!G23+'Proy. ventas'!G24</f>
        <v>2</v>
      </c>
      <c r="G19" s="473">
        <f t="shared" si="1"/>
        <v>1.8</v>
      </c>
      <c r="H19" s="482">
        <f>'Proy. ventas'!I22+'Proy. ventas'!I23+'Proy. ventas'!I24</f>
        <v>6</v>
      </c>
      <c r="I19" s="473">
        <f t="shared" si="2"/>
        <v>5.4</v>
      </c>
      <c r="J19" s="482">
        <f>'Proy. ventas'!K22+'Proy. ventas'!K23+'Proy. ventas'!K24</f>
        <v>12</v>
      </c>
      <c r="K19" s="473">
        <f t="shared" si="3"/>
        <v>10.8</v>
      </c>
      <c r="L19" s="482">
        <f>'Proy. ventas'!M22+'Proy. ventas'!M23+'Proy. ventas'!M24</f>
        <v>20</v>
      </c>
      <c r="M19" s="473">
        <f t="shared" si="4"/>
        <v>18</v>
      </c>
      <c r="N19" s="482">
        <f>'Proy. ventas'!O22+'Proy. ventas'!O23+'Proy. ventas'!O24</f>
        <v>29</v>
      </c>
      <c r="O19" s="473">
        <f t="shared" si="5"/>
        <v>26.1</v>
      </c>
      <c r="P19" s="482">
        <f>'Proy. ventas'!Q22+'Proy. ventas'!Q23+'Proy. ventas'!Q24</f>
        <v>39</v>
      </c>
      <c r="Q19" s="473">
        <f t="shared" si="6"/>
        <v>35.1</v>
      </c>
      <c r="R19" s="482">
        <f>'Proy. ventas'!S22+'Proy. ventas'!S23+'Proy. ventas'!S24</f>
        <v>50</v>
      </c>
      <c r="S19" s="473">
        <f t="shared" si="7"/>
        <v>45</v>
      </c>
      <c r="T19" s="482">
        <f>'Proy. ventas'!U22+'Proy. ventas'!U23+'Proy. ventas'!U24</f>
        <v>62</v>
      </c>
      <c r="U19" s="473">
        <f t="shared" si="8"/>
        <v>55.800000000000004</v>
      </c>
      <c r="V19" s="482">
        <f>'Proy. ventas'!W22+'Proy. ventas'!W23+'Proy. ventas'!W24</f>
        <v>75</v>
      </c>
      <c r="W19" s="473">
        <f t="shared" si="9"/>
        <v>67.5</v>
      </c>
      <c r="X19" s="482">
        <f>'Proy. ventas'!Y22+'Proy. ventas'!Y23+'Proy. ventas'!Y24</f>
        <v>88</v>
      </c>
      <c r="Y19" s="473">
        <f t="shared" si="10"/>
        <v>79.2</v>
      </c>
      <c r="Z19" s="482">
        <f>'Proy. ventas'!AA22+'Proy. ventas'!AA23+'Proy. ventas'!AA24</f>
        <v>102</v>
      </c>
      <c r="AA19" s="473">
        <f t="shared" si="11"/>
        <v>91.8</v>
      </c>
      <c r="AB19" s="475">
        <f t="shared" si="12"/>
        <v>436.5</v>
      </c>
    </row>
    <row r="20" spans="1:28" ht="15" customHeight="1">
      <c r="A20" s="752"/>
      <c r="B20" s="474" t="s">
        <v>288</v>
      </c>
      <c r="C20" s="481">
        <v>6</v>
      </c>
      <c r="D20" s="482">
        <f>'Proy. ventas'!E20+'Proy. ventas'!E21</f>
        <v>0</v>
      </c>
      <c r="E20" s="473">
        <f t="shared" si="0"/>
        <v>0</v>
      </c>
      <c r="F20" s="482">
        <f>'Proy. ventas'!G20+'Proy. ventas'!G21</f>
        <v>1</v>
      </c>
      <c r="G20" s="473">
        <f t="shared" si="1"/>
        <v>6</v>
      </c>
      <c r="H20" s="482">
        <f>'Proy. ventas'!I20+'Proy. ventas'!I21</f>
        <v>3</v>
      </c>
      <c r="I20" s="473">
        <f t="shared" si="2"/>
        <v>18</v>
      </c>
      <c r="J20" s="482">
        <f>'Proy. ventas'!K20+'Proy. ventas'!K21</f>
        <v>4</v>
      </c>
      <c r="K20" s="473">
        <f t="shared" si="3"/>
        <v>24</v>
      </c>
      <c r="L20" s="482">
        <f>'Proy. ventas'!M20+'Proy. ventas'!M21</f>
        <v>6</v>
      </c>
      <c r="M20" s="473">
        <f t="shared" si="4"/>
        <v>36</v>
      </c>
      <c r="N20" s="482">
        <f>'Proy. ventas'!O20+'Proy. ventas'!O21</f>
        <v>6</v>
      </c>
      <c r="O20" s="473">
        <f t="shared" si="5"/>
        <v>36</v>
      </c>
      <c r="P20" s="482">
        <f>'Proy. ventas'!Q20+'Proy. ventas'!Q21</f>
        <v>7</v>
      </c>
      <c r="Q20" s="473">
        <f t="shared" si="6"/>
        <v>42</v>
      </c>
      <c r="R20" s="482">
        <f>'Proy. ventas'!S20+'Proy. ventas'!S21</f>
        <v>8</v>
      </c>
      <c r="S20" s="473">
        <f t="shared" si="7"/>
        <v>48</v>
      </c>
      <c r="T20" s="482">
        <f>'Proy. ventas'!U20+'Proy. ventas'!U21</f>
        <v>8</v>
      </c>
      <c r="U20" s="473">
        <f t="shared" si="8"/>
        <v>48</v>
      </c>
      <c r="V20" s="482">
        <f>'Proy. ventas'!W20+'Proy. ventas'!W21</f>
        <v>9</v>
      </c>
      <c r="W20" s="473">
        <f t="shared" si="9"/>
        <v>54</v>
      </c>
      <c r="X20" s="482">
        <f>'Proy. ventas'!Y20+'Proy. ventas'!Y21</f>
        <v>9</v>
      </c>
      <c r="Y20" s="473">
        <f t="shared" si="10"/>
        <v>54</v>
      </c>
      <c r="Z20" s="482">
        <f>'Proy. ventas'!AA20+'Proy. ventas'!AA21</f>
        <v>11</v>
      </c>
      <c r="AA20" s="473">
        <f t="shared" si="11"/>
        <v>66</v>
      </c>
      <c r="AB20" s="475">
        <f t="shared" si="12"/>
        <v>432</v>
      </c>
    </row>
    <row r="21" spans="1:28" ht="15" customHeight="1">
      <c r="A21" s="751" t="s">
        <v>289</v>
      </c>
      <c r="B21" s="474" t="s">
        <v>290</v>
      </c>
      <c r="C21" s="481">
        <f>Hipótesis!$C$58*0.3</f>
        <v>7.5</v>
      </c>
      <c r="D21" s="482">
        <f>'Proy. ventas'!E19</f>
        <v>0</v>
      </c>
      <c r="E21" s="473">
        <f t="shared" si="0"/>
        <v>0</v>
      </c>
      <c r="F21" s="482">
        <f>'Proy. ventas'!G19</f>
        <v>1</v>
      </c>
      <c r="G21" s="473">
        <f t="shared" si="1"/>
        <v>7.5</v>
      </c>
      <c r="H21" s="482">
        <f>'Proy. ventas'!I19</f>
        <v>1</v>
      </c>
      <c r="I21" s="473">
        <f t="shared" si="2"/>
        <v>7.5</v>
      </c>
      <c r="J21" s="482">
        <f>'Proy. ventas'!K19</f>
        <v>2</v>
      </c>
      <c r="K21" s="473">
        <f t="shared" si="3"/>
        <v>15</v>
      </c>
      <c r="L21" s="482">
        <f>'Proy. ventas'!M19</f>
        <v>2</v>
      </c>
      <c r="M21" s="473">
        <f t="shared" si="4"/>
        <v>15</v>
      </c>
      <c r="N21" s="482">
        <f>'Proy. ventas'!O19</f>
        <v>3</v>
      </c>
      <c r="O21" s="473">
        <f t="shared" si="5"/>
        <v>22.5</v>
      </c>
      <c r="P21" s="482">
        <f>'Proy. ventas'!Q19</f>
        <v>3</v>
      </c>
      <c r="Q21" s="473">
        <f t="shared" si="6"/>
        <v>22.5</v>
      </c>
      <c r="R21" s="482">
        <f>'Proy. ventas'!S19</f>
        <v>3</v>
      </c>
      <c r="S21" s="473">
        <f t="shared" si="7"/>
        <v>22.5</v>
      </c>
      <c r="T21" s="482">
        <f>'Proy. ventas'!U19</f>
        <v>4</v>
      </c>
      <c r="U21" s="473">
        <f t="shared" si="8"/>
        <v>30</v>
      </c>
      <c r="V21" s="482">
        <f>'Proy. ventas'!W19</f>
        <v>4</v>
      </c>
      <c r="W21" s="473">
        <f t="shared" si="9"/>
        <v>30</v>
      </c>
      <c r="X21" s="482">
        <f>'Proy. ventas'!Y19</f>
        <v>4</v>
      </c>
      <c r="Y21" s="473">
        <f t="shared" si="10"/>
        <v>30</v>
      </c>
      <c r="Z21" s="482">
        <f>'Proy. ventas'!AA19</f>
        <v>3</v>
      </c>
      <c r="AA21" s="473">
        <f t="shared" si="11"/>
        <v>22.5</v>
      </c>
      <c r="AB21" s="475">
        <f t="shared" si="12"/>
        <v>225</v>
      </c>
    </row>
    <row r="22" spans="1:28" ht="15" customHeight="1">
      <c r="A22" s="756"/>
      <c r="B22" s="474" t="s">
        <v>291</v>
      </c>
      <c r="C22" s="481">
        <f>Hipótesis!$C$59*0.3</f>
        <v>18</v>
      </c>
      <c r="D22" s="482">
        <f>'Proy. ventas'!E20</f>
        <v>0</v>
      </c>
      <c r="E22" s="473">
        <f t="shared" si="0"/>
        <v>0</v>
      </c>
      <c r="F22" s="482">
        <f>'Proy. ventas'!G20</f>
        <v>1</v>
      </c>
      <c r="G22" s="473">
        <f t="shared" si="1"/>
        <v>18</v>
      </c>
      <c r="H22" s="482">
        <f>'Proy. ventas'!I20</f>
        <v>3</v>
      </c>
      <c r="I22" s="473">
        <f t="shared" si="2"/>
        <v>54</v>
      </c>
      <c r="J22" s="482">
        <f>'Proy. ventas'!K20</f>
        <v>4</v>
      </c>
      <c r="K22" s="473">
        <f t="shared" si="3"/>
        <v>72</v>
      </c>
      <c r="L22" s="482">
        <f>'Proy. ventas'!M20</f>
        <v>5</v>
      </c>
      <c r="M22" s="473">
        <f t="shared" si="4"/>
        <v>90</v>
      </c>
      <c r="N22" s="482">
        <f>'Proy. ventas'!O20</f>
        <v>5</v>
      </c>
      <c r="O22" s="473">
        <f t="shared" si="5"/>
        <v>90</v>
      </c>
      <c r="P22" s="482">
        <f>'Proy. ventas'!Q20</f>
        <v>6</v>
      </c>
      <c r="Q22" s="473">
        <f t="shared" si="6"/>
        <v>108</v>
      </c>
      <c r="R22" s="482">
        <f>'Proy. ventas'!S20</f>
        <v>7</v>
      </c>
      <c r="S22" s="473">
        <f t="shared" si="7"/>
        <v>126</v>
      </c>
      <c r="T22" s="482">
        <f>'Proy. ventas'!U20</f>
        <v>7</v>
      </c>
      <c r="U22" s="473">
        <f t="shared" si="8"/>
        <v>126</v>
      </c>
      <c r="V22" s="482">
        <f>'Proy. ventas'!W20</f>
        <v>8</v>
      </c>
      <c r="W22" s="473">
        <f t="shared" si="9"/>
        <v>144</v>
      </c>
      <c r="X22" s="482">
        <f>'Proy. ventas'!Y20</f>
        <v>8</v>
      </c>
      <c r="Y22" s="473">
        <f t="shared" si="10"/>
        <v>144</v>
      </c>
      <c r="Z22" s="482">
        <f>'Proy. ventas'!AA20</f>
        <v>8</v>
      </c>
      <c r="AA22" s="473">
        <f t="shared" si="11"/>
        <v>144</v>
      </c>
      <c r="AB22" s="475">
        <f t="shared" si="12"/>
        <v>1116</v>
      </c>
    </row>
    <row r="23" spans="1:28" ht="15" customHeight="1">
      <c r="A23" s="756"/>
      <c r="B23" s="474" t="s">
        <v>292</v>
      </c>
      <c r="C23" s="481">
        <f>Hipótesis!$C$60*0.3</f>
        <v>75</v>
      </c>
      <c r="D23" s="482">
        <f>'Proy. ventas'!E21</f>
        <v>0</v>
      </c>
      <c r="E23" s="473">
        <f t="shared" si="0"/>
        <v>0</v>
      </c>
      <c r="F23" s="482">
        <f>'Proy. ventas'!G21</f>
        <v>0</v>
      </c>
      <c r="G23" s="473">
        <f t="shared" si="1"/>
        <v>0</v>
      </c>
      <c r="H23" s="482">
        <f>'Proy. ventas'!I21</f>
        <v>0</v>
      </c>
      <c r="I23" s="473">
        <f t="shared" si="2"/>
        <v>0</v>
      </c>
      <c r="J23" s="482">
        <f>'Proy. ventas'!K21</f>
        <v>0</v>
      </c>
      <c r="K23" s="473">
        <f t="shared" si="3"/>
        <v>0</v>
      </c>
      <c r="L23" s="482">
        <f>'Proy. ventas'!M21</f>
        <v>1</v>
      </c>
      <c r="M23" s="473">
        <f t="shared" si="4"/>
        <v>75</v>
      </c>
      <c r="N23" s="482">
        <f>'Proy. ventas'!O21</f>
        <v>1</v>
      </c>
      <c r="O23" s="473">
        <f t="shared" si="5"/>
        <v>75</v>
      </c>
      <c r="P23" s="482">
        <f>'Proy. ventas'!Q21</f>
        <v>1</v>
      </c>
      <c r="Q23" s="473">
        <f t="shared" si="6"/>
        <v>75</v>
      </c>
      <c r="R23" s="482">
        <f>'Proy. ventas'!S21</f>
        <v>1</v>
      </c>
      <c r="S23" s="473">
        <f t="shared" si="7"/>
        <v>75</v>
      </c>
      <c r="T23" s="482">
        <f>'Proy. ventas'!U21</f>
        <v>1</v>
      </c>
      <c r="U23" s="473">
        <f t="shared" si="8"/>
        <v>75</v>
      </c>
      <c r="V23" s="482">
        <f>'Proy. ventas'!W21</f>
        <v>1</v>
      </c>
      <c r="W23" s="473">
        <f t="shared" si="9"/>
        <v>75</v>
      </c>
      <c r="X23" s="482">
        <f>'Proy. ventas'!Y21</f>
        <v>1</v>
      </c>
      <c r="Y23" s="473">
        <f t="shared" si="10"/>
        <v>75</v>
      </c>
      <c r="Z23" s="482">
        <f>'Proy. ventas'!AA21</f>
        <v>3</v>
      </c>
      <c r="AA23" s="473">
        <f t="shared" si="11"/>
        <v>225</v>
      </c>
      <c r="AB23" s="475">
        <f t="shared" si="12"/>
        <v>750</v>
      </c>
    </row>
    <row r="24" spans="1:28" ht="15" customHeight="1">
      <c r="A24" s="752"/>
      <c r="B24" s="474" t="s">
        <v>293</v>
      </c>
      <c r="C24" s="481">
        <v>10</v>
      </c>
      <c r="D24" s="482">
        <f>ROUND(('Proy. ventas'!E19+'Proy. ventas'!E20+'Proy. ventas'!E21)*0.3,0)</f>
        <v>0</v>
      </c>
      <c r="E24" s="473">
        <f t="shared" si="0"/>
        <v>0</v>
      </c>
      <c r="F24" s="482">
        <f>ROUND(('Proy. ventas'!G19+'Proy. ventas'!G20+'Proy. ventas'!G21)*0.3,0)</f>
        <v>1</v>
      </c>
      <c r="G24" s="473">
        <f t="shared" si="1"/>
        <v>10</v>
      </c>
      <c r="H24" s="482">
        <f>ROUND(('Proy. ventas'!I19+'Proy. ventas'!I20+'Proy. ventas'!I21)*0.3,0)</f>
        <v>1</v>
      </c>
      <c r="I24" s="473">
        <f t="shared" si="2"/>
        <v>10</v>
      </c>
      <c r="J24" s="482">
        <f>ROUND(('Proy. ventas'!K19+'Proy. ventas'!K20+'Proy. ventas'!K21)*0.3,0)</f>
        <v>2</v>
      </c>
      <c r="K24" s="473">
        <f t="shared" si="3"/>
        <v>20</v>
      </c>
      <c r="L24" s="482">
        <f>ROUND(('Proy. ventas'!M19+'Proy. ventas'!M20+'Proy. ventas'!M21)*0.3,0)</f>
        <v>2</v>
      </c>
      <c r="M24" s="473">
        <f t="shared" si="4"/>
        <v>20</v>
      </c>
      <c r="N24" s="482">
        <f>ROUND(('Proy. ventas'!O19+'Proy. ventas'!O20+'Proy. ventas'!O21)*0.3,0)</f>
        <v>3</v>
      </c>
      <c r="O24" s="473">
        <f t="shared" si="5"/>
        <v>30</v>
      </c>
      <c r="P24" s="482">
        <f>ROUND(('Proy. ventas'!Q19+'Proy. ventas'!Q20+'Proy. ventas'!Q21)*0.3,0)</f>
        <v>3</v>
      </c>
      <c r="Q24" s="473">
        <f t="shared" si="6"/>
        <v>30</v>
      </c>
      <c r="R24" s="482">
        <f>ROUND(('Proy. ventas'!S19+'Proy. ventas'!S20+'Proy. ventas'!S21)*0.3,0)</f>
        <v>3</v>
      </c>
      <c r="S24" s="473">
        <f t="shared" si="7"/>
        <v>30</v>
      </c>
      <c r="T24" s="482">
        <f>ROUND(('Proy. ventas'!U19+'Proy. ventas'!U20+'Proy. ventas'!U21)*0.3,0)</f>
        <v>4</v>
      </c>
      <c r="U24" s="473">
        <f t="shared" si="8"/>
        <v>40</v>
      </c>
      <c r="V24" s="482">
        <f>ROUND(('Proy. ventas'!W19+'Proy. ventas'!W20+'Proy. ventas'!W21)*0.3,0)</f>
        <v>4</v>
      </c>
      <c r="W24" s="473">
        <f t="shared" si="9"/>
        <v>40</v>
      </c>
      <c r="X24" s="482">
        <f>ROUND(('Proy. ventas'!Y19+'Proy. ventas'!Y20+'Proy. ventas'!Y21)*0.3,0)</f>
        <v>4</v>
      </c>
      <c r="Y24" s="473">
        <f t="shared" si="10"/>
        <v>40</v>
      </c>
      <c r="Z24" s="482">
        <f>ROUND(('Proy. ventas'!AA19+'Proy. ventas'!AA20+'Proy. ventas'!AA21)*0.3,0)</f>
        <v>4</v>
      </c>
      <c r="AA24" s="473">
        <f t="shared" si="11"/>
        <v>40</v>
      </c>
      <c r="AB24" s="475">
        <f t="shared" si="12"/>
        <v>310</v>
      </c>
    </row>
    <row r="25" spans="1:28" ht="15" customHeight="1">
      <c r="B25" s="237"/>
      <c r="C25" s="238"/>
      <c r="D25" s="239"/>
      <c r="E25" s="240"/>
      <c r="F25" s="239"/>
      <c r="G25" s="240"/>
      <c r="H25" s="239"/>
      <c r="I25" s="240"/>
      <c r="J25" s="239"/>
      <c r="K25" s="240"/>
      <c r="L25" s="239"/>
      <c r="M25" s="240"/>
      <c r="N25" s="239"/>
      <c r="O25" s="240"/>
      <c r="P25" s="239"/>
      <c r="Q25" s="240"/>
      <c r="R25" s="239"/>
      <c r="S25" s="240"/>
      <c r="T25" s="239"/>
      <c r="U25" s="240"/>
      <c r="V25" s="239"/>
      <c r="W25" s="240"/>
      <c r="X25" s="239"/>
      <c r="Y25" s="240"/>
      <c r="Z25" s="239"/>
      <c r="AA25" s="240"/>
      <c r="AB25" s="236"/>
    </row>
    <row r="26" spans="1:28" ht="15" customHeight="1">
      <c r="B26" s="237"/>
      <c r="C26" s="238"/>
      <c r="D26" s="239"/>
      <c r="E26" s="240"/>
      <c r="F26" s="239"/>
      <c r="G26" s="240"/>
      <c r="H26" s="239"/>
      <c r="I26" s="240"/>
      <c r="J26" s="239"/>
      <c r="K26" s="240"/>
      <c r="L26" s="239"/>
      <c r="M26" s="240"/>
      <c r="N26" s="239"/>
      <c r="O26" s="240"/>
      <c r="P26" s="239"/>
      <c r="Q26" s="240"/>
      <c r="R26" s="239"/>
      <c r="S26" s="240"/>
      <c r="T26" s="239"/>
      <c r="U26" s="240"/>
      <c r="V26" s="239"/>
      <c r="W26" s="240"/>
      <c r="X26" s="239"/>
      <c r="Y26" s="240"/>
      <c r="Z26" s="239"/>
      <c r="AA26" s="240"/>
      <c r="AB26" s="236"/>
    </row>
    <row r="27" spans="1:28" ht="15" customHeight="1">
      <c r="B27" s="241"/>
      <c r="C27" s="242"/>
      <c r="D27" s="239"/>
      <c r="E27" s="240"/>
      <c r="F27" s="239"/>
      <c r="G27" s="240"/>
      <c r="H27" s="239"/>
      <c r="I27" s="240"/>
      <c r="J27" s="239"/>
      <c r="K27" s="240"/>
      <c r="L27" s="239"/>
      <c r="M27" s="240"/>
      <c r="N27" s="239"/>
      <c r="O27" s="240"/>
      <c r="P27" s="239"/>
      <c r="Q27" s="240"/>
      <c r="R27" s="239"/>
      <c r="S27" s="240"/>
      <c r="T27" s="239"/>
      <c r="U27" s="240"/>
      <c r="V27" s="239"/>
      <c r="W27" s="240"/>
      <c r="X27" s="239"/>
      <c r="Y27" s="240"/>
      <c r="Z27" s="239"/>
      <c r="AA27" s="240"/>
      <c r="AB27" s="236"/>
    </row>
    <row r="28" spans="1:28" ht="15" customHeight="1">
      <c r="B28" s="241"/>
      <c r="C28" s="242"/>
      <c r="D28" s="239"/>
      <c r="E28" s="240"/>
      <c r="F28" s="239"/>
      <c r="G28" s="240"/>
      <c r="H28" s="239"/>
      <c r="I28" s="240"/>
      <c r="J28" s="239"/>
      <c r="K28" s="240"/>
      <c r="L28" s="239"/>
      <c r="M28" s="240"/>
      <c r="N28" s="239"/>
      <c r="O28" s="240"/>
      <c r="P28" s="239"/>
      <c r="Q28" s="240"/>
      <c r="R28" s="239"/>
      <c r="S28" s="240"/>
      <c r="T28" s="239"/>
      <c r="U28" s="240"/>
      <c r="V28" s="239"/>
      <c r="W28" s="240"/>
      <c r="X28" s="239"/>
      <c r="Y28" s="240"/>
      <c r="Z28" s="239"/>
      <c r="AA28" s="240"/>
      <c r="AB28" s="236"/>
    </row>
    <row r="29" spans="1:28" ht="14.4" customHeight="1">
      <c r="B29" s="241"/>
      <c r="C29" s="242"/>
      <c r="D29" s="239"/>
      <c r="E29" s="240"/>
      <c r="F29" s="239"/>
      <c r="G29" s="240"/>
      <c r="H29" s="239"/>
      <c r="I29" s="240"/>
      <c r="J29" s="239"/>
      <c r="K29" s="240"/>
      <c r="L29" s="239"/>
      <c r="M29" s="240"/>
      <c r="N29" s="239"/>
      <c r="O29" s="240"/>
      <c r="P29" s="239"/>
      <c r="Q29" s="240"/>
      <c r="R29" s="239"/>
      <c r="S29" s="240"/>
      <c r="T29" s="239"/>
      <c r="U29" s="240"/>
      <c r="V29" s="239"/>
      <c r="W29" s="240"/>
      <c r="X29" s="239"/>
      <c r="Y29" s="240"/>
      <c r="Z29" s="239"/>
      <c r="AA29" s="240"/>
      <c r="AB29" s="236"/>
    </row>
    <row r="30" spans="1:28" ht="14.4" customHeight="1">
      <c r="B30" s="243"/>
      <c r="C30" s="244"/>
      <c r="D30" s="245"/>
      <c r="E30" s="246"/>
      <c r="F30" s="247"/>
      <c r="G30" s="246"/>
      <c r="H30" s="247"/>
      <c r="I30" s="246"/>
      <c r="J30" s="247"/>
      <c r="K30" s="246"/>
      <c r="L30" s="247"/>
      <c r="M30" s="246"/>
      <c r="N30" s="247"/>
      <c r="O30" s="246"/>
      <c r="P30" s="247"/>
      <c r="Q30" s="246"/>
      <c r="R30" s="247"/>
      <c r="S30" s="246"/>
      <c r="T30" s="247"/>
      <c r="U30" s="246"/>
      <c r="V30" s="247"/>
      <c r="W30" s="246"/>
      <c r="X30" s="247"/>
      <c r="Y30" s="246"/>
      <c r="Z30" s="247"/>
      <c r="AA30" s="240"/>
      <c r="AB30" s="235"/>
    </row>
    <row r="31" spans="1:28" ht="14.4" customHeight="1">
      <c r="A31" s="248"/>
      <c r="B31" s="249"/>
      <c r="C31" s="250"/>
      <c r="D31" s="251"/>
      <c r="E31" s="252"/>
      <c r="F31" s="253"/>
      <c r="G31" s="252"/>
      <c r="H31" s="253"/>
      <c r="I31" s="252"/>
      <c r="J31" s="253"/>
      <c r="K31" s="252"/>
      <c r="L31" s="253"/>
      <c r="M31" s="252"/>
      <c r="N31" s="253"/>
      <c r="O31" s="252"/>
      <c r="P31" s="253"/>
      <c r="Q31" s="252"/>
      <c r="R31" s="253"/>
      <c r="S31" s="252"/>
      <c r="T31" s="253"/>
      <c r="U31" s="252"/>
      <c r="V31" s="253"/>
      <c r="W31" s="252"/>
      <c r="X31" s="253"/>
      <c r="Y31" s="252"/>
      <c r="Z31" s="253"/>
      <c r="AA31" s="252"/>
      <c r="AB31" s="235"/>
    </row>
    <row r="32" spans="1:28" ht="14.4" customHeight="1">
      <c r="A32" s="478"/>
      <c r="B32" s="477" t="s">
        <v>273</v>
      </c>
      <c r="C32" s="478"/>
      <c r="D32" s="478"/>
      <c r="E32" s="479">
        <f>SUM(E15:E24)</f>
        <v>0</v>
      </c>
      <c r="F32" s="483"/>
      <c r="G32" s="479">
        <f>SUM(G15:G24)</f>
        <v>79.3</v>
      </c>
      <c r="H32" s="483"/>
      <c r="I32" s="479">
        <f>SUM(I15:I24)</f>
        <v>172.9</v>
      </c>
      <c r="J32" s="483"/>
      <c r="K32" s="479">
        <f>SUM(K15:K24)</f>
        <v>257.8</v>
      </c>
      <c r="L32" s="483"/>
      <c r="M32" s="479">
        <f>SUM(M15:M24)</f>
        <v>414</v>
      </c>
      <c r="N32" s="478"/>
      <c r="O32" s="479">
        <f>SUM(O15:O24)</f>
        <v>459.1</v>
      </c>
      <c r="P32" s="483"/>
      <c r="Q32" s="479">
        <f>SUM(Q15:Q24)</f>
        <v>517.1</v>
      </c>
      <c r="R32" s="483"/>
      <c r="S32" s="479">
        <f>SUM(S15:S24)</f>
        <v>576.5</v>
      </c>
      <c r="T32" s="483"/>
      <c r="U32" s="479">
        <f>SUM(U15:U24)</f>
        <v>625.79999999999995</v>
      </c>
      <c r="V32" s="483"/>
      <c r="W32" s="479">
        <f>SUM(W15:W24)</f>
        <v>688</v>
      </c>
      <c r="X32" s="483"/>
      <c r="Y32" s="479">
        <f>SUM(Y15:Y24)</f>
        <v>706.2</v>
      </c>
      <c r="Z32" s="483"/>
      <c r="AA32" s="479">
        <f>SUM(AA15:AA24)</f>
        <v>905.3</v>
      </c>
      <c r="AB32" s="479">
        <f>SUM(AB15:AB24)</f>
        <v>5402</v>
      </c>
    </row>
    <row r="33" spans="1:28" ht="14.4"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4.4"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5.95" customHeight="1">
      <c r="A35" s="1"/>
      <c r="B35" s="469" t="s">
        <v>294</v>
      </c>
    </row>
    <row r="36" spans="1:28" ht="14.4" customHeight="1">
      <c r="A36" s="470" t="s">
        <v>247</v>
      </c>
      <c r="B36" s="470" t="s">
        <v>173</v>
      </c>
      <c r="C36" s="470" t="s">
        <v>279</v>
      </c>
      <c r="D36" s="757" t="s">
        <v>79</v>
      </c>
      <c r="E36" s="758"/>
      <c r="F36" s="757" t="s">
        <v>80</v>
      </c>
      <c r="G36" s="758"/>
      <c r="H36" s="757" t="s">
        <v>81</v>
      </c>
      <c r="I36" s="758"/>
      <c r="J36" s="757" t="s">
        <v>82</v>
      </c>
      <c r="K36" s="758"/>
      <c r="L36" s="757" t="s">
        <v>83</v>
      </c>
      <c r="M36" s="758"/>
      <c r="N36" s="757" t="s">
        <v>84</v>
      </c>
      <c r="O36" s="758"/>
      <c r="P36" s="757" t="s">
        <v>85</v>
      </c>
      <c r="Q36" s="758"/>
      <c r="R36" s="757" t="s">
        <v>86</v>
      </c>
      <c r="S36" s="758"/>
      <c r="T36" s="757" t="s">
        <v>87</v>
      </c>
      <c r="U36" s="758"/>
      <c r="V36" s="757" t="s">
        <v>88</v>
      </c>
      <c r="W36" s="758"/>
      <c r="X36" s="757" t="s">
        <v>89</v>
      </c>
      <c r="Y36" s="758"/>
      <c r="Z36" s="757" t="s">
        <v>90</v>
      </c>
      <c r="AA36" s="758"/>
      <c r="AB36" s="757" t="s">
        <v>248</v>
      </c>
    </row>
    <row r="37" spans="1:28" ht="14.4" customHeight="1">
      <c r="A37" s="480"/>
      <c r="B37" s="480"/>
      <c r="C37" s="480"/>
      <c r="D37" s="480" t="s">
        <v>280</v>
      </c>
      <c r="E37" s="480" t="s">
        <v>281</v>
      </c>
      <c r="F37" s="480" t="s">
        <v>280</v>
      </c>
      <c r="G37" s="480" t="s">
        <v>281</v>
      </c>
      <c r="H37" s="480" t="s">
        <v>280</v>
      </c>
      <c r="I37" s="480" t="s">
        <v>281</v>
      </c>
      <c r="J37" s="480" t="s">
        <v>280</v>
      </c>
      <c r="K37" s="480" t="s">
        <v>281</v>
      </c>
      <c r="L37" s="480" t="s">
        <v>280</v>
      </c>
      <c r="M37" s="480" t="s">
        <v>281</v>
      </c>
      <c r="N37" s="480" t="s">
        <v>280</v>
      </c>
      <c r="O37" s="480" t="s">
        <v>281</v>
      </c>
      <c r="P37" s="480" t="s">
        <v>280</v>
      </c>
      <c r="Q37" s="480" t="s">
        <v>281</v>
      </c>
      <c r="R37" s="480" t="s">
        <v>280</v>
      </c>
      <c r="S37" s="480" t="s">
        <v>281</v>
      </c>
      <c r="T37" s="480" t="s">
        <v>280</v>
      </c>
      <c r="U37" s="480" t="s">
        <v>281</v>
      </c>
      <c r="V37" s="480" t="s">
        <v>280</v>
      </c>
      <c r="W37" s="480" t="s">
        <v>281</v>
      </c>
      <c r="X37" s="480" t="s">
        <v>280</v>
      </c>
      <c r="Y37" s="480" t="s">
        <v>281</v>
      </c>
      <c r="Z37" s="480" t="s">
        <v>280</v>
      </c>
      <c r="AA37" s="480" t="s">
        <v>281</v>
      </c>
      <c r="AB37" s="752"/>
    </row>
    <row r="38" spans="1:28" ht="14.4" customHeight="1">
      <c r="A38" s="751" t="s">
        <v>282</v>
      </c>
      <c r="B38" s="474" t="s">
        <v>283</v>
      </c>
      <c r="C38" s="481">
        <v>15</v>
      </c>
      <c r="D38" s="482">
        <f>'Proy. ventas'!E82+'Proy. ventas'!E83+'Proy. ventas'!E84</f>
        <v>13</v>
      </c>
      <c r="E38" s="473">
        <f t="shared" ref="E38:E47" si="13">D38*$C38</f>
        <v>195</v>
      </c>
      <c r="F38" s="482">
        <f>'Proy. ventas'!G82+'Proy. ventas'!G83+'Proy. ventas'!G84</f>
        <v>13</v>
      </c>
      <c r="G38" s="473">
        <f t="shared" ref="G38:G47" si="14">F38*$C38</f>
        <v>195</v>
      </c>
      <c r="H38" s="482">
        <f>'Proy. ventas'!I82+'Proy. ventas'!I83+'Proy. ventas'!I84</f>
        <v>13</v>
      </c>
      <c r="I38" s="473">
        <f t="shared" ref="I38:I47" si="15">H38*$C38</f>
        <v>195</v>
      </c>
      <c r="J38" s="482">
        <f>'Proy. ventas'!K82+'Proy. ventas'!K83+'Proy. ventas'!K84</f>
        <v>13</v>
      </c>
      <c r="K38" s="473">
        <f t="shared" ref="K38:K47" si="16">J38*$C38</f>
        <v>195</v>
      </c>
      <c r="L38" s="482">
        <f>'Proy. ventas'!M82+'Proy. ventas'!M83+'Proy. ventas'!M84</f>
        <v>13</v>
      </c>
      <c r="M38" s="473">
        <f t="shared" ref="M38:M47" si="17">L38*$C38</f>
        <v>195</v>
      </c>
      <c r="N38" s="482">
        <f>'Proy. ventas'!O82+'Proy. ventas'!O83+'Proy. ventas'!O84</f>
        <v>14</v>
      </c>
      <c r="O38" s="473">
        <f t="shared" ref="O38:O47" si="18">N38*$C38</f>
        <v>210</v>
      </c>
      <c r="P38" s="482">
        <f>'Proy. ventas'!Q82+'Proy. ventas'!Q83+'Proy. ventas'!Q84</f>
        <v>14</v>
      </c>
      <c r="Q38" s="473">
        <f t="shared" ref="Q38:Q47" si="19">P38*$C38</f>
        <v>210</v>
      </c>
      <c r="R38" s="482">
        <f>'Proy. ventas'!S82+'Proy. ventas'!S83+'Proy. ventas'!S84</f>
        <v>15</v>
      </c>
      <c r="S38" s="473">
        <f t="shared" ref="S38:S47" si="20">R38*$C38</f>
        <v>225</v>
      </c>
      <c r="T38" s="482">
        <f>'Proy. ventas'!U82+'Proy. ventas'!U83+'Proy. ventas'!U84</f>
        <v>14</v>
      </c>
      <c r="U38" s="473">
        <f t="shared" ref="U38:U47" si="21">T38*$C38</f>
        <v>210</v>
      </c>
      <c r="V38" s="482">
        <f>'Proy. ventas'!W82+'Proy. ventas'!W83+'Proy. ventas'!W84</f>
        <v>15</v>
      </c>
      <c r="W38" s="473">
        <f t="shared" ref="W38:W47" si="22">V38*$C38</f>
        <v>225</v>
      </c>
      <c r="X38" s="482">
        <f>'Proy. ventas'!Y82+'Proy. ventas'!Y83+'Proy. ventas'!Y84</f>
        <v>16</v>
      </c>
      <c r="Y38" s="473">
        <f t="shared" ref="Y38:Y47" si="23">X38*$C38</f>
        <v>240</v>
      </c>
      <c r="Z38" s="482">
        <f>'Proy. ventas'!AA82+'Proy. ventas'!AA83+'Proy. ventas'!AA84</f>
        <v>17</v>
      </c>
      <c r="AA38" s="473">
        <f t="shared" ref="AA38:AA47" si="24">Z38*$C38</f>
        <v>255</v>
      </c>
      <c r="AB38" s="475">
        <f t="shared" ref="AB38:AB47" si="25">E38+G38+I38+K38+M38+O38+Q38+S38+U38+W38+Y38+AA38</f>
        <v>2550</v>
      </c>
    </row>
    <row r="39" spans="1:28" ht="14.4" customHeight="1">
      <c r="A39" s="756"/>
      <c r="B39" s="474" t="s">
        <v>284</v>
      </c>
      <c r="C39" s="481">
        <v>5</v>
      </c>
      <c r="D39" s="482">
        <f>'Proy. ventas'!E83+'Proy. ventas'!E84</f>
        <v>9</v>
      </c>
      <c r="E39" s="473">
        <f t="shared" si="13"/>
        <v>45</v>
      </c>
      <c r="F39" s="482">
        <f>'Proy. ventas'!G83+'Proy. ventas'!G84</f>
        <v>9</v>
      </c>
      <c r="G39" s="473">
        <f t="shared" si="14"/>
        <v>45</v>
      </c>
      <c r="H39" s="482">
        <f>'Proy. ventas'!I83+'Proy. ventas'!I84</f>
        <v>9</v>
      </c>
      <c r="I39" s="473">
        <f t="shared" si="15"/>
        <v>45</v>
      </c>
      <c r="J39" s="482">
        <f>'Proy. ventas'!K83+'Proy. ventas'!K84</f>
        <v>9</v>
      </c>
      <c r="K39" s="473">
        <f t="shared" si="16"/>
        <v>45</v>
      </c>
      <c r="L39" s="482">
        <f>'Proy. ventas'!M83+'Proy. ventas'!M84</f>
        <v>9</v>
      </c>
      <c r="M39" s="473">
        <f t="shared" si="17"/>
        <v>45</v>
      </c>
      <c r="N39" s="482">
        <f>'Proy. ventas'!O83+'Proy. ventas'!O84</f>
        <v>10</v>
      </c>
      <c r="O39" s="473">
        <f t="shared" si="18"/>
        <v>50</v>
      </c>
      <c r="P39" s="482">
        <f>'Proy. ventas'!Q83+'Proy. ventas'!Q84</f>
        <v>10</v>
      </c>
      <c r="Q39" s="473">
        <f t="shared" si="19"/>
        <v>50</v>
      </c>
      <c r="R39" s="482">
        <f>'Proy. ventas'!S83+'Proy. ventas'!S84</f>
        <v>11</v>
      </c>
      <c r="S39" s="473">
        <f t="shared" si="20"/>
        <v>55</v>
      </c>
      <c r="T39" s="482">
        <f>'Proy. ventas'!U83+'Proy. ventas'!U84</f>
        <v>10</v>
      </c>
      <c r="U39" s="473">
        <f t="shared" si="21"/>
        <v>50</v>
      </c>
      <c r="V39" s="482">
        <f>'Proy. ventas'!W83+'Proy. ventas'!W84</f>
        <v>11</v>
      </c>
      <c r="W39" s="473">
        <f t="shared" si="22"/>
        <v>55</v>
      </c>
      <c r="X39" s="482">
        <f>'Proy. ventas'!Y83+'Proy. ventas'!Y84</f>
        <v>11</v>
      </c>
      <c r="Y39" s="473">
        <f t="shared" si="23"/>
        <v>55</v>
      </c>
      <c r="Z39" s="482">
        <f>'Proy. ventas'!AA83+'Proy. ventas'!AA84</f>
        <v>11</v>
      </c>
      <c r="AA39" s="473">
        <f t="shared" si="24"/>
        <v>55</v>
      </c>
      <c r="AB39" s="475">
        <f t="shared" si="25"/>
        <v>595</v>
      </c>
    </row>
    <row r="40" spans="1:28" ht="14.4" customHeight="1">
      <c r="A40" s="756"/>
      <c r="B40" s="474" t="s">
        <v>285</v>
      </c>
      <c r="C40" s="481">
        <v>0.35</v>
      </c>
      <c r="D40" s="482">
        <f>'Proy. ventas'!E85+'Proy. ventas'!E86+'Proy. ventas'!E87</f>
        <v>115</v>
      </c>
      <c r="E40" s="473">
        <f t="shared" si="13"/>
        <v>40.25</v>
      </c>
      <c r="F40" s="482">
        <f>'Proy. ventas'!G85+'Proy. ventas'!G86+'Proy. ventas'!G87</f>
        <v>128</v>
      </c>
      <c r="G40" s="473">
        <f t="shared" si="14"/>
        <v>44.8</v>
      </c>
      <c r="H40" s="482">
        <f>'Proy. ventas'!I85+'Proy. ventas'!I86+'Proy. ventas'!I87</f>
        <v>141</v>
      </c>
      <c r="I40" s="473">
        <f t="shared" si="15"/>
        <v>49.349999999999994</v>
      </c>
      <c r="J40" s="482">
        <f>'Proy. ventas'!K85+'Proy. ventas'!K86+'Proy. ventas'!K87</f>
        <v>154</v>
      </c>
      <c r="K40" s="473">
        <f t="shared" si="16"/>
        <v>53.9</v>
      </c>
      <c r="L40" s="482">
        <f>'Proy. ventas'!M85+'Proy. ventas'!M86+'Proy. ventas'!M87</f>
        <v>167</v>
      </c>
      <c r="M40" s="473">
        <f t="shared" si="17"/>
        <v>58.449999999999996</v>
      </c>
      <c r="N40" s="482">
        <f>'Proy. ventas'!O85+'Proy. ventas'!O86+'Proy. ventas'!O87</f>
        <v>181</v>
      </c>
      <c r="O40" s="473">
        <f t="shared" si="18"/>
        <v>63.349999999999994</v>
      </c>
      <c r="P40" s="482">
        <f>'Proy. ventas'!Q85+'Proy. ventas'!Q86+'Proy. ventas'!Q87</f>
        <v>195</v>
      </c>
      <c r="Q40" s="473">
        <f t="shared" si="19"/>
        <v>68.25</v>
      </c>
      <c r="R40" s="482">
        <f>'Proy. ventas'!S85+'Proy. ventas'!S86+'Proy. ventas'!S87</f>
        <v>210</v>
      </c>
      <c r="S40" s="473">
        <f t="shared" si="20"/>
        <v>73.5</v>
      </c>
      <c r="T40" s="482">
        <f>'Proy. ventas'!U85+'Proy. ventas'!U86+'Proy. ventas'!U87</f>
        <v>224</v>
      </c>
      <c r="U40" s="473">
        <f t="shared" si="21"/>
        <v>78.399999999999991</v>
      </c>
      <c r="V40" s="482">
        <f>'Proy. ventas'!W85+'Proy. ventas'!W86+'Proy. ventas'!W87</f>
        <v>239</v>
      </c>
      <c r="W40" s="473">
        <f t="shared" si="22"/>
        <v>83.649999999999991</v>
      </c>
      <c r="X40" s="482">
        <f>'Proy. ventas'!Y85+'Proy. ventas'!Y86+'Proy. ventas'!Y87</f>
        <v>255</v>
      </c>
      <c r="Y40" s="473">
        <f t="shared" si="23"/>
        <v>89.25</v>
      </c>
      <c r="Z40" s="482">
        <f>'Proy. ventas'!AA85+'Proy. ventas'!AA86+'Proy. ventas'!AA87</f>
        <v>272</v>
      </c>
      <c r="AA40" s="473">
        <f t="shared" si="24"/>
        <v>95.199999999999989</v>
      </c>
      <c r="AB40" s="475">
        <f t="shared" si="25"/>
        <v>798.34999999999991</v>
      </c>
    </row>
    <row r="41" spans="1:28" ht="14.4" customHeight="1">
      <c r="A41" s="756"/>
      <c r="B41" s="474" t="s">
        <v>286</v>
      </c>
      <c r="C41" s="481">
        <v>0.15</v>
      </c>
      <c r="D41" s="482">
        <f>'Proy. ventas'!E85+'Proy. ventas'!E86+'Proy. ventas'!E87</f>
        <v>115</v>
      </c>
      <c r="E41" s="473">
        <f t="shared" si="13"/>
        <v>17.25</v>
      </c>
      <c r="F41" s="482">
        <f>'Proy. ventas'!G85+'Proy. ventas'!G86+'Proy. ventas'!G87</f>
        <v>128</v>
      </c>
      <c r="G41" s="473">
        <f t="shared" si="14"/>
        <v>19.2</v>
      </c>
      <c r="H41" s="482">
        <f>'Proy. ventas'!I85+'Proy. ventas'!I86+'Proy. ventas'!I87</f>
        <v>141</v>
      </c>
      <c r="I41" s="473">
        <f t="shared" si="15"/>
        <v>21.15</v>
      </c>
      <c r="J41" s="482">
        <f>'Proy. ventas'!K85+'Proy. ventas'!K86+'Proy. ventas'!K87</f>
        <v>154</v>
      </c>
      <c r="K41" s="473">
        <f t="shared" si="16"/>
        <v>23.099999999999998</v>
      </c>
      <c r="L41" s="482">
        <f>'Proy. ventas'!M85+'Proy. ventas'!M86+'Proy. ventas'!M87</f>
        <v>167</v>
      </c>
      <c r="M41" s="473">
        <f t="shared" si="17"/>
        <v>25.05</v>
      </c>
      <c r="N41" s="482">
        <f>'Proy. ventas'!O85+'Proy. ventas'!O86+'Proy. ventas'!O87</f>
        <v>181</v>
      </c>
      <c r="O41" s="473">
        <f t="shared" si="18"/>
        <v>27.15</v>
      </c>
      <c r="P41" s="482">
        <f>'Proy. ventas'!Q85+'Proy. ventas'!Q86+'Proy. ventas'!Q87</f>
        <v>195</v>
      </c>
      <c r="Q41" s="473">
        <f t="shared" si="19"/>
        <v>29.25</v>
      </c>
      <c r="R41" s="482">
        <f>'Proy. ventas'!S85+'Proy. ventas'!S86+'Proy. ventas'!S87</f>
        <v>210</v>
      </c>
      <c r="S41" s="473">
        <f t="shared" si="20"/>
        <v>31.5</v>
      </c>
      <c r="T41" s="482">
        <f>'Proy. ventas'!U85+'Proy. ventas'!U86+'Proy. ventas'!U87</f>
        <v>224</v>
      </c>
      <c r="U41" s="473">
        <f t="shared" si="21"/>
        <v>33.6</v>
      </c>
      <c r="V41" s="482">
        <f>'Proy. ventas'!W85+'Proy. ventas'!W86+'Proy. ventas'!W87</f>
        <v>239</v>
      </c>
      <c r="W41" s="473">
        <f t="shared" si="22"/>
        <v>35.85</v>
      </c>
      <c r="X41" s="482">
        <f>'Proy. ventas'!Y85+'Proy. ventas'!Y86+'Proy. ventas'!Y87</f>
        <v>255</v>
      </c>
      <c r="Y41" s="473">
        <f t="shared" si="23"/>
        <v>38.25</v>
      </c>
      <c r="Z41" s="482">
        <f>'Proy. ventas'!AA85+'Proy. ventas'!AA86+'Proy. ventas'!AA87</f>
        <v>272</v>
      </c>
      <c r="AA41" s="473">
        <f t="shared" si="24"/>
        <v>40.799999999999997</v>
      </c>
      <c r="AB41" s="475">
        <f t="shared" si="25"/>
        <v>342.15000000000003</v>
      </c>
    </row>
    <row r="42" spans="1:28" ht="14.4" customHeight="1">
      <c r="A42" s="756"/>
      <c r="B42" s="474" t="s">
        <v>287</v>
      </c>
      <c r="C42" s="481">
        <v>0.9</v>
      </c>
      <c r="D42" s="482">
        <f>'Proy. ventas'!E85+'Proy. ventas'!E86+'Proy. ventas'!E87</f>
        <v>115</v>
      </c>
      <c r="E42" s="473">
        <f t="shared" si="13"/>
        <v>103.5</v>
      </c>
      <c r="F42" s="482">
        <f>'Proy. ventas'!G85+'Proy. ventas'!G86+'Proy. ventas'!G87</f>
        <v>128</v>
      </c>
      <c r="G42" s="473">
        <f t="shared" si="14"/>
        <v>115.2</v>
      </c>
      <c r="H42" s="482">
        <f>'Proy. ventas'!I85+'Proy. ventas'!I86+'Proy. ventas'!I87</f>
        <v>141</v>
      </c>
      <c r="I42" s="473">
        <f t="shared" si="15"/>
        <v>126.9</v>
      </c>
      <c r="J42" s="482">
        <f>'Proy. ventas'!K85+'Proy. ventas'!K86+'Proy. ventas'!K87</f>
        <v>154</v>
      </c>
      <c r="K42" s="473">
        <f t="shared" si="16"/>
        <v>138.6</v>
      </c>
      <c r="L42" s="482">
        <f>'Proy. ventas'!M85+'Proy. ventas'!M86+'Proy. ventas'!M87</f>
        <v>167</v>
      </c>
      <c r="M42" s="473">
        <f t="shared" si="17"/>
        <v>150.30000000000001</v>
      </c>
      <c r="N42" s="482">
        <f>'Proy. ventas'!O85+'Proy. ventas'!O86+'Proy. ventas'!O87</f>
        <v>181</v>
      </c>
      <c r="O42" s="473">
        <f t="shared" si="18"/>
        <v>162.9</v>
      </c>
      <c r="P42" s="482">
        <f>'Proy. ventas'!Q85+'Proy. ventas'!Q86+'Proy. ventas'!Q87</f>
        <v>195</v>
      </c>
      <c r="Q42" s="473">
        <f t="shared" si="19"/>
        <v>175.5</v>
      </c>
      <c r="R42" s="482">
        <f>'Proy. ventas'!S85+'Proy. ventas'!S86+'Proy. ventas'!S87</f>
        <v>210</v>
      </c>
      <c r="S42" s="473">
        <f t="shared" si="20"/>
        <v>189</v>
      </c>
      <c r="T42" s="482">
        <f>'Proy. ventas'!U85+'Proy. ventas'!U86+'Proy. ventas'!U87</f>
        <v>224</v>
      </c>
      <c r="U42" s="473">
        <f t="shared" si="21"/>
        <v>201.6</v>
      </c>
      <c r="V42" s="482">
        <f>'Proy. ventas'!W85+'Proy. ventas'!W86+'Proy. ventas'!W87</f>
        <v>239</v>
      </c>
      <c r="W42" s="473">
        <f t="shared" si="22"/>
        <v>215.1</v>
      </c>
      <c r="X42" s="482">
        <f>'Proy. ventas'!Y85+'Proy. ventas'!Y86+'Proy. ventas'!Y87</f>
        <v>255</v>
      </c>
      <c r="Y42" s="473">
        <f t="shared" si="23"/>
        <v>229.5</v>
      </c>
      <c r="Z42" s="482">
        <f>'Proy. ventas'!AA85+'Proy. ventas'!AA86+'Proy. ventas'!AA87</f>
        <v>272</v>
      </c>
      <c r="AA42" s="473">
        <f t="shared" si="24"/>
        <v>244.8</v>
      </c>
      <c r="AB42" s="475">
        <f t="shared" si="25"/>
        <v>2052.9</v>
      </c>
    </row>
    <row r="43" spans="1:28" ht="14.4" customHeight="1">
      <c r="A43" s="752"/>
      <c r="B43" s="474" t="s">
        <v>288</v>
      </c>
      <c r="C43" s="481">
        <v>6</v>
      </c>
      <c r="D43" s="482">
        <f>'Proy. ventas'!E83+'Proy. ventas'!E84</f>
        <v>9</v>
      </c>
      <c r="E43" s="473">
        <f t="shared" si="13"/>
        <v>54</v>
      </c>
      <c r="F43" s="482">
        <f>'Proy. ventas'!G83+'Proy. ventas'!G84</f>
        <v>9</v>
      </c>
      <c r="G43" s="473">
        <f t="shared" si="14"/>
        <v>54</v>
      </c>
      <c r="H43" s="482">
        <f>'Proy. ventas'!I83+'Proy. ventas'!I84</f>
        <v>9</v>
      </c>
      <c r="I43" s="473">
        <f t="shared" si="15"/>
        <v>54</v>
      </c>
      <c r="J43" s="482">
        <f>'Proy. ventas'!K83+'Proy. ventas'!K84</f>
        <v>9</v>
      </c>
      <c r="K43" s="473">
        <f t="shared" si="16"/>
        <v>54</v>
      </c>
      <c r="L43" s="482">
        <f>'Proy. ventas'!M83+'Proy. ventas'!M84</f>
        <v>9</v>
      </c>
      <c r="M43" s="473">
        <f t="shared" si="17"/>
        <v>54</v>
      </c>
      <c r="N43" s="482">
        <f>'Proy. ventas'!O83+'Proy. ventas'!O84</f>
        <v>10</v>
      </c>
      <c r="O43" s="473">
        <f t="shared" si="18"/>
        <v>60</v>
      </c>
      <c r="P43" s="482">
        <f>'Proy. ventas'!Q83+'Proy. ventas'!Q84</f>
        <v>10</v>
      </c>
      <c r="Q43" s="473">
        <f t="shared" si="19"/>
        <v>60</v>
      </c>
      <c r="R43" s="482">
        <f>'Proy. ventas'!S83+'Proy. ventas'!S84</f>
        <v>11</v>
      </c>
      <c r="S43" s="473">
        <f t="shared" si="20"/>
        <v>66</v>
      </c>
      <c r="T43" s="482">
        <f>'Proy. ventas'!U83+'Proy. ventas'!U84</f>
        <v>10</v>
      </c>
      <c r="U43" s="473">
        <f t="shared" si="21"/>
        <v>60</v>
      </c>
      <c r="V43" s="482">
        <f>'Proy. ventas'!W83+'Proy. ventas'!W84</f>
        <v>11</v>
      </c>
      <c r="W43" s="473">
        <f t="shared" si="22"/>
        <v>66</v>
      </c>
      <c r="X43" s="482">
        <f>'Proy. ventas'!Y83+'Proy. ventas'!Y84</f>
        <v>11</v>
      </c>
      <c r="Y43" s="473">
        <f t="shared" si="23"/>
        <v>66</v>
      </c>
      <c r="Z43" s="482">
        <f>'Proy. ventas'!AA83+'Proy. ventas'!AA84</f>
        <v>11</v>
      </c>
      <c r="AA43" s="473">
        <f t="shared" si="24"/>
        <v>66</v>
      </c>
      <c r="AB43" s="475">
        <f t="shared" si="25"/>
        <v>714</v>
      </c>
    </row>
    <row r="44" spans="1:28" ht="14.4" customHeight="1">
      <c r="A44" s="751" t="s">
        <v>289</v>
      </c>
      <c r="B44" s="474" t="s">
        <v>290</v>
      </c>
      <c r="C44" s="481">
        <f>Hipótesis!$C$58*0.3</f>
        <v>7.5</v>
      </c>
      <c r="D44" s="482">
        <f>'Proy. ventas'!E82</f>
        <v>4</v>
      </c>
      <c r="E44" s="473">
        <f t="shared" si="13"/>
        <v>30</v>
      </c>
      <c r="F44" s="482">
        <f>'Proy. ventas'!G82</f>
        <v>4</v>
      </c>
      <c r="G44" s="473">
        <f t="shared" si="14"/>
        <v>30</v>
      </c>
      <c r="H44" s="482">
        <f>'Proy. ventas'!I82</f>
        <v>4</v>
      </c>
      <c r="I44" s="473">
        <f t="shared" si="15"/>
        <v>30</v>
      </c>
      <c r="J44" s="482">
        <f>'Proy. ventas'!K82</f>
        <v>4</v>
      </c>
      <c r="K44" s="473">
        <f t="shared" si="16"/>
        <v>30</v>
      </c>
      <c r="L44" s="482">
        <f>'Proy. ventas'!M82</f>
        <v>4</v>
      </c>
      <c r="M44" s="473">
        <f t="shared" si="17"/>
        <v>30</v>
      </c>
      <c r="N44" s="482">
        <f>'Proy. ventas'!O82</f>
        <v>4</v>
      </c>
      <c r="O44" s="473">
        <f t="shared" si="18"/>
        <v>30</v>
      </c>
      <c r="P44" s="482">
        <f>'Proy. ventas'!Q82</f>
        <v>4</v>
      </c>
      <c r="Q44" s="473">
        <f t="shared" si="19"/>
        <v>30</v>
      </c>
      <c r="R44" s="482">
        <f>'Proy. ventas'!S82</f>
        <v>4</v>
      </c>
      <c r="S44" s="473">
        <f t="shared" si="20"/>
        <v>30</v>
      </c>
      <c r="T44" s="482">
        <f>'Proy. ventas'!U82</f>
        <v>4</v>
      </c>
      <c r="U44" s="473">
        <f t="shared" si="21"/>
        <v>30</v>
      </c>
      <c r="V44" s="482">
        <f>'Proy. ventas'!W82</f>
        <v>4</v>
      </c>
      <c r="W44" s="473">
        <f t="shared" si="22"/>
        <v>30</v>
      </c>
      <c r="X44" s="482">
        <f>'Proy. ventas'!Y82</f>
        <v>5</v>
      </c>
      <c r="Y44" s="473">
        <f t="shared" si="23"/>
        <v>37.5</v>
      </c>
      <c r="Z44" s="482">
        <f>'Proy. ventas'!AA82</f>
        <v>6</v>
      </c>
      <c r="AA44" s="473">
        <f t="shared" si="24"/>
        <v>45</v>
      </c>
      <c r="AB44" s="475">
        <f t="shared" si="25"/>
        <v>382.5</v>
      </c>
    </row>
    <row r="45" spans="1:28" ht="14.4" customHeight="1">
      <c r="A45" s="756"/>
      <c r="B45" s="474" t="s">
        <v>291</v>
      </c>
      <c r="C45" s="481">
        <f>Hipótesis!$C$59*0.3</f>
        <v>18</v>
      </c>
      <c r="D45" s="482">
        <f>'Proy. ventas'!E83</f>
        <v>8</v>
      </c>
      <c r="E45" s="473">
        <f t="shared" si="13"/>
        <v>144</v>
      </c>
      <c r="F45" s="482">
        <f>'Proy. ventas'!G83</f>
        <v>8</v>
      </c>
      <c r="G45" s="473">
        <f t="shared" si="14"/>
        <v>144</v>
      </c>
      <c r="H45" s="482">
        <f>'Proy. ventas'!I83</f>
        <v>8</v>
      </c>
      <c r="I45" s="473">
        <f t="shared" si="15"/>
        <v>144</v>
      </c>
      <c r="J45" s="482">
        <f>'Proy. ventas'!K83</f>
        <v>8</v>
      </c>
      <c r="K45" s="473">
        <f t="shared" si="16"/>
        <v>144</v>
      </c>
      <c r="L45" s="482">
        <f>'Proy. ventas'!M83</f>
        <v>8</v>
      </c>
      <c r="M45" s="473">
        <f t="shared" si="17"/>
        <v>144</v>
      </c>
      <c r="N45" s="482">
        <f>'Proy. ventas'!O83</f>
        <v>8</v>
      </c>
      <c r="O45" s="473">
        <f t="shared" si="18"/>
        <v>144</v>
      </c>
      <c r="P45" s="482">
        <f>'Proy. ventas'!Q83</f>
        <v>9</v>
      </c>
      <c r="Q45" s="473">
        <f t="shared" si="19"/>
        <v>162</v>
      </c>
      <c r="R45" s="482">
        <f>'Proy. ventas'!S83</f>
        <v>9</v>
      </c>
      <c r="S45" s="473">
        <f t="shared" si="20"/>
        <v>162</v>
      </c>
      <c r="T45" s="482">
        <f>'Proy. ventas'!U83</f>
        <v>9</v>
      </c>
      <c r="U45" s="473">
        <f t="shared" si="21"/>
        <v>162</v>
      </c>
      <c r="V45" s="482">
        <f>'Proy. ventas'!W83</f>
        <v>9</v>
      </c>
      <c r="W45" s="473">
        <f t="shared" si="22"/>
        <v>162</v>
      </c>
      <c r="X45" s="482">
        <f>'Proy. ventas'!Y83</f>
        <v>9</v>
      </c>
      <c r="Y45" s="473">
        <f t="shared" si="23"/>
        <v>162</v>
      </c>
      <c r="Z45" s="482">
        <f>'Proy. ventas'!AA83</f>
        <v>9</v>
      </c>
      <c r="AA45" s="473">
        <f t="shared" si="24"/>
        <v>162</v>
      </c>
      <c r="AB45" s="475">
        <f t="shared" si="25"/>
        <v>1836</v>
      </c>
    </row>
    <row r="46" spans="1:28" ht="14.4" customHeight="1">
      <c r="A46" s="756"/>
      <c r="B46" s="474" t="s">
        <v>292</v>
      </c>
      <c r="C46" s="481">
        <f>Hipótesis!$C$60*0.3</f>
        <v>75</v>
      </c>
      <c r="D46" s="482">
        <f>'Proy. ventas'!E84</f>
        <v>1</v>
      </c>
      <c r="E46" s="473">
        <f t="shared" si="13"/>
        <v>75</v>
      </c>
      <c r="F46" s="482">
        <f>'Proy. ventas'!G84</f>
        <v>1</v>
      </c>
      <c r="G46" s="473">
        <f t="shared" si="14"/>
        <v>75</v>
      </c>
      <c r="H46" s="482">
        <f>'Proy. ventas'!I84</f>
        <v>1</v>
      </c>
      <c r="I46" s="473">
        <f t="shared" si="15"/>
        <v>75</v>
      </c>
      <c r="J46" s="482">
        <f>'Proy. ventas'!K84</f>
        <v>1</v>
      </c>
      <c r="K46" s="473">
        <f t="shared" si="16"/>
        <v>75</v>
      </c>
      <c r="L46" s="482">
        <f>'Proy. ventas'!M84</f>
        <v>1</v>
      </c>
      <c r="M46" s="473">
        <f t="shared" si="17"/>
        <v>75</v>
      </c>
      <c r="N46" s="482">
        <f>'Proy. ventas'!O84</f>
        <v>2</v>
      </c>
      <c r="O46" s="473">
        <f t="shared" si="18"/>
        <v>150</v>
      </c>
      <c r="P46" s="482">
        <f>'Proy. ventas'!Q84</f>
        <v>1</v>
      </c>
      <c r="Q46" s="473">
        <f t="shared" si="19"/>
        <v>75</v>
      </c>
      <c r="R46" s="482">
        <f>'Proy. ventas'!S84</f>
        <v>2</v>
      </c>
      <c r="S46" s="473">
        <f t="shared" si="20"/>
        <v>150</v>
      </c>
      <c r="T46" s="482">
        <f>'Proy. ventas'!U84</f>
        <v>1</v>
      </c>
      <c r="U46" s="473">
        <f t="shared" si="21"/>
        <v>75</v>
      </c>
      <c r="V46" s="482">
        <f>'Proy. ventas'!W84</f>
        <v>2</v>
      </c>
      <c r="W46" s="473">
        <f t="shared" si="22"/>
        <v>150</v>
      </c>
      <c r="X46" s="482">
        <f>'Proy. ventas'!Y84</f>
        <v>2</v>
      </c>
      <c r="Y46" s="473">
        <f t="shared" si="23"/>
        <v>150</v>
      </c>
      <c r="Z46" s="482">
        <f>'Proy. ventas'!AA84</f>
        <v>2</v>
      </c>
      <c r="AA46" s="473">
        <f t="shared" si="24"/>
        <v>150</v>
      </c>
      <c r="AB46" s="475">
        <f t="shared" si="25"/>
        <v>1275</v>
      </c>
    </row>
    <row r="47" spans="1:28" ht="14.4" customHeight="1">
      <c r="A47" s="752"/>
      <c r="B47" s="474" t="s">
        <v>293</v>
      </c>
      <c r="C47" s="481">
        <v>10</v>
      </c>
      <c r="D47" s="482">
        <f>ROUND(('Proy. ventas'!E82+'Proy. ventas'!E83+'Proy. ventas'!E84)*0.3,0)</f>
        <v>4</v>
      </c>
      <c r="E47" s="473">
        <f t="shared" si="13"/>
        <v>40</v>
      </c>
      <c r="F47" s="482">
        <f>ROUND(('Proy. ventas'!G82+'Proy. ventas'!G83+'Proy. ventas'!G84)*0.3,0)</f>
        <v>4</v>
      </c>
      <c r="G47" s="473">
        <f t="shared" si="14"/>
        <v>40</v>
      </c>
      <c r="H47" s="482">
        <f>ROUND(('Proy. ventas'!I82+'Proy. ventas'!I83+'Proy. ventas'!I84)*0.3,0)</f>
        <v>4</v>
      </c>
      <c r="I47" s="473">
        <f t="shared" si="15"/>
        <v>40</v>
      </c>
      <c r="J47" s="482">
        <f>ROUND(('Proy. ventas'!K82+'Proy. ventas'!K83+'Proy. ventas'!K84)*0.3,0)</f>
        <v>4</v>
      </c>
      <c r="K47" s="473">
        <f t="shared" si="16"/>
        <v>40</v>
      </c>
      <c r="L47" s="482">
        <f>ROUND(('Proy. ventas'!M82+'Proy. ventas'!M83+'Proy. ventas'!M84)*0.3,0)</f>
        <v>4</v>
      </c>
      <c r="M47" s="473">
        <f t="shared" si="17"/>
        <v>40</v>
      </c>
      <c r="N47" s="482">
        <f>ROUND(('Proy. ventas'!O82+'Proy. ventas'!O83+'Proy. ventas'!O84)*0.3,0)</f>
        <v>4</v>
      </c>
      <c r="O47" s="473">
        <f t="shared" si="18"/>
        <v>40</v>
      </c>
      <c r="P47" s="482">
        <f>ROUND(('Proy. ventas'!Q82+'Proy. ventas'!Q83+'Proy. ventas'!Q84)*0.3,0)</f>
        <v>4</v>
      </c>
      <c r="Q47" s="473">
        <f t="shared" si="19"/>
        <v>40</v>
      </c>
      <c r="R47" s="482">
        <f>ROUND(('Proy. ventas'!S82+'Proy. ventas'!S83+'Proy. ventas'!S84)*0.3,0)</f>
        <v>5</v>
      </c>
      <c r="S47" s="473">
        <f t="shared" si="20"/>
        <v>50</v>
      </c>
      <c r="T47" s="482">
        <f>ROUND(('Proy. ventas'!U82+'Proy. ventas'!U83+'Proy. ventas'!U84)*0.3,0)</f>
        <v>4</v>
      </c>
      <c r="U47" s="473">
        <f t="shared" si="21"/>
        <v>40</v>
      </c>
      <c r="V47" s="482">
        <f>ROUND(('Proy. ventas'!W82+'Proy. ventas'!W83+'Proy. ventas'!W84)*0.3,0)</f>
        <v>5</v>
      </c>
      <c r="W47" s="473">
        <f t="shared" si="22"/>
        <v>50</v>
      </c>
      <c r="X47" s="482">
        <f>ROUND(('Proy. ventas'!Y82+'Proy. ventas'!Y83+'Proy. ventas'!Y84)*0.3,0)</f>
        <v>5</v>
      </c>
      <c r="Y47" s="473">
        <f t="shared" si="23"/>
        <v>50</v>
      </c>
      <c r="Z47" s="482">
        <f>ROUND(('Proy. ventas'!AA82+'Proy. ventas'!AA83+'Proy. ventas'!AA84)*0.3,0)</f>
        <v>5</v>
      </c>
      <c r="AA47" s="473">
        <f t="shared" si="24"/>
        <v>50</v>
      </c>
      <c r="AB47" s="475">
        <f t="shared" si="25"/>
        <v>520</v>
      </c>
    </row>
    <row r="48" spans="1:28" ht="14.4" customHeight="1">
      <c r="B48" s="237"/>
      <c r="C48" s="238"/>
      <c r="D48" s="239"/>
      <c r="E48" s="240"/>
      <c r="F48" s="239"/>
      <c r="G48" s="240"/>
      <c r="H48" s="239"/>
      <c r="I48" s="240"/>
      <c r="J48" s="239"/>
      <c r="K48" s="240"/>
      <c r="L48" s="239"/>
      <c r="M48" s="240"/>
      <c r="N48" s="239"/>
      <c r="O48" s="240"/>
      <c r="P48" s="239"/>
      <c r="Q48" s="240"/>
      <c r="R48" s="239"/>
      <c r="S48" s="240"/>
      <c r="T48" s="239"/>
      <c r="U48" s="240"/>
      <c r="V48" s="239"/>
      <c r="W48" s="240"/>
      <c r="X48" s="239"/>
      <c r="Y48" s="240"/>
      <c r="Z48" s="239"/>
      <c r="AA48" s="240"/>
      <c r="AB48" s="236"/>
    </row>
    <row r="49" spans="1:28" ht="14.4" customHeight="1">
      <c r="B49" s="237"/>
      <c r="C49" s="238"/>
      <c r="D49" s="239"/>
      <c r="E49" s="240"/>
      <c r="F49" s="239"/>
      <c r="G49" s="240"/>
      <c r="H49" s="239"/>
      <c r="I49" s="240"/>
      <c r="J49" s="239"/>
      <c r="K49" s="240"/>
      <c r="L49" s="239"/>
      <c r="M49" s="240"/>
      <c r="N49" s="239"/>
      <c r="O49" s="240"/>
      <c r="P49" s="239"/>
      <c r="Q49" s="240"/>
      <c r="R49" s="239"/>
      <c r="S49" s="240"/>
      <c r="T49" s="239"/>
      <c r="U49" s="240"/>
      <c r="V49" s="239"/>
      <c r="W49" s="240"/>
      <c r="X49" s="239"/>
      <c r="Y49" s="240"/>
      <c r="Z49" s="239"/>
      <c r="AA49" s="240"/>
      <c r="AB49" s="236"/>
    </row>
    <row r="50" spans="1:28" ht="14.4" customHeight="1">
      <c r="B50" s="241"/>
      <c r="C50" s="242"/>
      <c r="D50" s="239"/>
      <c r="E50" s="240"/>
      <c r="F50" s="239"/>
      <c r="G50" s="240"/>
      <c r="H50" s="239"/>
      <c r="I50" s="240"/>
      <c r="J50" s="239"/>
      <c r="K50" s="240"/>
      <c r="L50" s="239"/>
      <c r="M50" s="240"/>
      <c r="N50" s="239"/>
      <c r="O50" s="240"/>
      <c r="P50" s="239"/>
      <c r="Q50" s="240"/>
      <c r="R50" s="239"/>
      <c r="S50" s="240"/>
      <c r="T50" s="239"/>
      <c r="U50" s="240"/>
      <c r="V50" s="239"/>
      <c r="W50" s="240"/>
      <c r="X50" s="239"/>
      <c r="Y50" s="240"/>
      <c r="Z50" s="239"/>
      <c r="AA50" s="240"/>
      <c r="AB50" s="236"/>
    </row>
    <row r="51" spans="1:28" ht="14.4" customHeight="1">
      <c r="B51" s="241"/>
      <c r="C51" s="242"/>
      <c r="D51" s="239"/>
      <c r="E51" s="240"/>
      <c r="F51" s="239"/>
      <c r="G51" s="240"/>
      <c r="H51" s="239"/>
      <c r="I51" s="240"/>
      <c r="J51" s="239"/>
      <c r="K51" s="240"/>
      <c r="L51" s="239"/>
      <c r="M51" s="240"/>
      <c r="N51" s="239"/>
      <c r="O51" s="240"/>
      <c r="P51" s="239"/>
      <c r="Q51" s="240"/>
      <c r="R51" s="239"/>
      <c r="S51" s="240"/>
      <c r="T51" s="239"/>
      <c r="U51" s="240"/>
      <c r="V51" s="239"/>
      <c r="W51" s="240"/>
      <c r="X51" s="239"/>
      <c r="Y51" s="240"/>
      <c r="Z51" s="239"/>
      <c r="AA51" s="240"/>
      <c r="AB51" s="236"/>
    </row>
    <row r="52" spans="1:28" ht="14.4" customHeight="1">
      <c r="B52" s="241"/>
      <c r="C52" s="242"/>
      <c r="D52" s="239"/>
      <c r="E52" s="240"/>
      <c r="F52" s="239"/>
      <c r="G52" s="240"/>
      <c r="H52" s="239"/>
      <c r="I52" s="240"/>
      <c r="J52" s="239"/>
      <c r="K52" s="240"/>
      <c r="L52" s="239"/>
      <c r="M52" s="240"/>
      <c r="N52" s="239"/>
      <c r="O52" s="240"/>
      <c r="P52" s="239"/>
      <c r="Q52" s="240"/>
      <c r="R52" s="239"/>
      <c r="S52" s="240"/>
      <c r="T52" s="239"/>
      <c r="U52" s="240"/>
      <c r="V52" s="239"/>
      <c r="W52" s="240"/>
      <c r="X52" s="239"/>
      <c r="Y52" s="240"/>
      <c r="Z52" s="239"/>
      <c r="AA52" s="240"/>
      <c r="AB52" s="236"/>
    </row>
    <row r="53" spans="1:28" ht="14.4" customHeight="1">
      <c r="B53" s="254"/>
      <c r="C53" s="255"/>
      <c r="D53" s="245"/>
      <c r="E53" s="246"/>
      <c r="F53" s="247"/>
      <c r="G53" s="246"/>
      <c r="H53" s="247"/>
      <c r="I53" s="246"/>
      <c r="J53" s="247"/>
      <c r="K53" s="246"/>
      <c r="L53" s="247"/>
      <c r="M53" s="246"/>
      <c r="N53" s="247"/>
      <c r="O53" s="246"/>
      <c r="P53" s="247"/>
      <c r="Q53" s="246"/>
      <c r="R53" s="247"/>
      <c r="S53" s="246"/>
      <c r="T53" s="247"/>
      <c r="U53" s="246"/>
      <c r="V53" s="247"/>
      <c r="W53" s="246"/>
      <c r="X53" s="247"/>
      <c r="Y53" s="246"/>
      <c r="Z53" s="247"/>
      <c r="AA53" s="240"/>
      <c r="AB53" s="256"/>
    </row>
    <row r="54" spans="1:28" ht="14.4" customHeight="1">
      <c r="A54" s="248"/>
      <c r="B54" s="249"/>
      <c r="C54" s="250"/>
      <c r="D54" s="251"/>
      <c r="E54" s="252"/>
      <c r="F54" s="253"/>
      <c r="G54" s="252"/>
      <c r="H54" s="253"/>
      <c r="I54" s="252"/>
      <c r="J54" s="253"/>
      <c r="K54" s="252"/>
      <c r="L54" s="253"/>
      <c r="M54" s="252"/>
      <c r="N54" s="253"/>
      <c r="O54" s="252"/>
      <c r="P54" s="253"/>
      <c r="Q54" s="252"/>
      <c r="R54" s="253"/>
      <c r="S54" s="252"/>
      <c r="T54" s="253"/>
      <c r="U54" s="252"/>
      <c r="V54" s="253"/>
      <c r="W54" s="252"/>
      <c r="X54" s="253"/>
      <c r="Y54" s="252"/>
      <c r="Z54" s="253"/>
      <c r="AA54" s="252"/>
      <c r="AB54" s="235"/>
    </row>
    <row r="55" spans="1:28" ht="14.4" customHeight="1">
      <c r="A55" s="478"/>
      <c r="B55" s="477" t="s">
        <v>273</v>
      </c>
      <c r="C55" s="478"/>
      <c r="D55" s="478"/>
      <c r="E55" s="479">
        <f>SUM(E38:E47)</f>
        <v>744</v>
      </c>
      <c r="F55" s="483"/>
      <c r="G55" s="479">
        <f>SUM(G38:G47)</f>
        <v>762.2</v>
      </c>
      <c r="H55" s="483"/>
      <c r="I55" s="479">
        <f>SUM(I38:I47)</f>
        <v>780.4</v>
      </c>
      <c r="J55" s="483"/>
      <c r="K55" s="479">
        <f>SUM(K38:K47)</f>
        <v>798.6</v>
      </c>
      <c r="L55" s="483"/>
      <c r="M55" s="479">
        <f>SUM(M38:M47)</f>
        <v>816.8</v>
      </c>
      <c r="N55" s="478"/>
      <c r="O55" s="479">
        <f>SUM(O38:O47)</f>
        <v>937.4</v>
      </c>
      <c r="P55" s="483"/>
      <c r="Q55" s="479">
        <f>SUM(Q38:Q47)</f>
        <v>900</v>
      </c>
      <c r="R55" s="483"/>
      <c r="S55" s="479">
        <f>SUM(S38:S47)</f>
        <v>1032</v>
      </c>
      <c r="T55" s="483"/>
      <c r="U55" s="479">
        <f>SUM(U38:U47)</f>
        <v>940.6</v>
      </c>
      <c r="V55" s="483"/>
      <c r="W55" s="479">
        <f>SUM(W38:W47)</f>
        <v>1072.5999999999999</v>
      </c>
      <c r="X55" s="483"/>
      <c r="Y55" s="479">
        <f>SUM(Y38:Y47)</f>
        <v>1117.5</v>
      </c>
      <c r="Z55" s="483"/>
      <c r="AA55" s="479">
        <f>SUM(AA38:AA47)</f>
        <v>1163.8</v>
      </c>
      <c r="AB55" s="479">
        <f>SUM(AB38:AB47)</f>
        <v>11065.9</v>
      </c>
    </row>
    <row r="56" spans="1:28"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5.95" customHeight="1">
      <c r="A58" s="1"/>
      <c r="B58" s="469" t="s">
        <v>295</v>
      </c>
    </row>
    <row r="59" spans="1:28" ht="14.4" customHeight="1">
      <c r="A59" s="470" t="s">
        <v>247</v>
      </c>
      <c r="B59" s="470" t="s">
        <v>173</v>
      </c>
      <c r="C59" s="470" t="s">
        <v>279</v>
      </c>
      <c r="D59" s="757" t="s">
        <v>79</v>
      </c>
      <c r="E59" s="758"/>
      <c r="F59" s="757" t="s">
        <v>80</v>
      </c>
      <c r="G59" s="758"/>
      <c r="H59" s="757" t="s">
        <v>81</v>
      </c>
      <c r="I59" s="758"/>
      <c r="J59" s="757" t="s">
        <v>82</v>
      </c>
      <c r="K59" s="758"/>
      <c r="L59" s="757" t="s">
        <v>83</v>
      </c>
      <c r="M59" s="758"/>
      <c r="N59" s="757" t="s">
        <v>84</v>
      </c>
      <c r="O59" s="758"/>
      <c r="P59" s="757" t="s">
        <v>85</v>
      </c>
      <c r="Q59" s="758"/>
      <c r="R59" s="757" t="s">
        <v>86</v>
      </c>
      <c r="S59" s="758"/>
      <c r="T59" s="757" t="s">
        <v>87</v>
      </c>
      <c r="U59" s="758"/>
      <c r="V59" s="757" t="s">
        <v>88</v>
      </c>
      <c r="W59" s="758"/>
      <c r="X59" s="757" t="s">
        <v>89</v>
      </c>
      <c r="Y59" s="758"/>
      <c r="Z59" s="757" t="s">
        <v>90</v>
      </c>
      <c r="AA59" s="758"/>
      <c r="AB59" s="757" t="s">
        <v>248</v>
      </c>
    </row>
    <row r="60" spans="1:28" ht="14.4" customHeight="1">
      <c r="A60" s="480"/>
      <c r="B60" s="480"/>
      <c r="C60" s="480"/>
      <c r="D60" s="480" t="s">
        <v>280</v>
      </c>
      <c r="E60" s="480" t="s">
        <v>281</v>
      </c>
      <c r="F60" s="480" t="s">
        <v>280</v>
      </c>
      <c r="G60" s="480" t="s">
        <v>281</v>
      </c>
      <c r="H60" s="480" t="s">
        <v>280</v>
      </c>
      <c r="I60" s="480" t="s">
        <v>281</v>
      </c>
      <c r="J60" s="480" t="s">
        <v>280</v>
      </c>
      <c r="K60" s="480" t="s">
        <v>281</v>
      </c>
      <c r="L60" s="480" t="s">
        <v>280</v>
      </c>
      <c r="M60" s="480" t="s">
        <v>281</v>
      </c>
      <c r="N60" s="480" t="s">
        <v>280</v>
      </c>
      <c r="O60" s="480" t="s">
        <v>281</v>
      </c>
      <c r="P60" s="480" t="s">
        <v>280</v>
      </c>
      <c r="Q60" s="480" t="s">
        <v>281</v>
      </c>
      <c r="R60" s="480" t="s">
        <v>280</v>
      </c>
      <c r="S60" s="480" t="s">
        <v>281</v>
      </c>
      <c r="T60" s="480" t="s">
        <v>280</v>
      </c>
      <c r="U60" s="480" t="s">
        <v>281</v>
      </c>
      <c r="V60" s="480" t="s">
        <v>280</v>
      </c>
      <c r="W60" s="480" t="s">
        <v>281</v>
      </c>
      <c r="X60" s="480" t="s">
        <v>280</v>
      </c>
      <c r="Y60" s="480" t="s">
        <v>281</v>
      </c>
      <c r="Z60" s="480" t="s">
        <v>280</v>
      </c>
      <c r="AA60" s="480" t="s">
        <v>281</v>
      </c>
      <c r="AB60" s="752"/>
    </row>
    <row r="61" spans="1:28" ht="14.4" customHeight="1">
      <c r="A61" s="751" t="s">
        <v>282</v>
      </c>
      <c r="B61" s="474" t="s">
        <v>283</v>
      </c>
      <c r="C61" s="481">
        <v>15</v>
      </c>
      <c r="D61" s="482">
        <f>'Proy. ventas'!E144+'Proy. ventas'!E145+'Proy. ventas'!E146</f>
        <v>20</v>
      </c>
      <c r="E61" s="473">
        <f t="shared" ref="E61:E70" si="26">D61*$C61</f>
        <v>300</v>
      </c>
      <c r="F61" s="482">
        <f>'Proy. ventas'!G144+'Proy. ventas'!G145+'Proy. ventas'!G146</f>
        <v>20</v>
      </c>
      <c r="G61" s="473">
        <f t="shared" ref="G61:G70" si="27">F61*$C61</f>
        <v>300</v>
      </c>
      <c r="H61" s="482">
        <f>'Proy. ventas'!I144+'Proy. ventas'!I145+'Proy. ventas'!I146</f>
        <v>20</v>
      </c>
      <c r="I61" s="473">
        <f t="shared" ref="I61:I70" si="28">H61*$C61</f>
        <v>300</v>
      </c>
      <c r="J61" s="482">
        <f>'Proy. ventas'!K144+'Proy. ventas'!K145+'Proy. ventas'!K146</f>
        <v>20</v>
      </c>
      <c r="K61" s="473">
        <f t="shared" ref="K61:K70" si="29">J61*$C61</f>
        <v>300</v>
      </c>
      <c r="L61" s="482">
        <f>'Proy. ventas'!M144+'Proy. ventas'!M145+'Proy. ventas'!M146</f>
        <v>20</v>
      </c>
      <c r="M61" s="473">
        <f t="shared" ref="M61:M70" si="30">L61*$C61</f>
        <v>300</v>
      </c>
      <c r="N61" s="482">
        <f>'Proy. ventas'!O144+'Proy. ventas'!O145+'Proy. ventas'!O146</f>
        <v>20</v>
      </c>
      <c r="O61" s="473">
        <f t="shared" ref="O61:O70" si="31">N61*$C61</f>
        <v>300</v>
      </c>
      <c r="P61" s="482">
        <f>'Proy. ventas'!Q144+'Proy. ventas'!Q145+'Proy. ventas'!Q146</f>
        <v>20</v>
      </c>
      <c r="Q61" s="473">
        <f t="shared" ref="Q61:Q70" si="32">P61*$C61</f>
        <v>300</v>
      </c>
      <c r="R61" s="482">
        <f>'Proy. ventas'!S144+'Proy. ventas'!S145+'Proy. ventas'!S146</f>
        <v>20</v>
      </c>
      <c r="S61" s="473">
        <f t="shared" ref="S61:S70" si="33">R61*$C61</f>
        <v>300</v>
      </c>
      <c r="T61" s="482">
        <f>'Proy. ventas'!U144+'Proy. ventas'!U145+'Proy. ventas'!U146</f>
        <v>20</v>
      </c>
      <c r="U61" s="473">
        <f t="shared" ref="U61:U70" si="34">T61*$C61</f>
        <v>300</v>
      </c>
      <c r="V61" s="482">
        <f>'Proy. ventas'!W144+'Proy. ventas'!W145+'Proy. ventas'!W146</f>
        <v>20</v>
      </c>
      <c r="W61" s="473">
        <f t="shared" ref="W61:W70" si="35">V61*$C61</f>
        <v>300</v>
      </c>
      <c r="X61" s="482">
        <f>'Proy. ventas'!Y144+'Proy. ventas'!Y145+'Proy. ventas'!Y146</f>
        <v>20</v>
      </c>
      <c r="Y61" s="473">
        <f t="shared" ref="Y61:Y70" si="36">X61*$C61</f>
        <v>300</v>
      </c>
      <c r="Z61" s="482">
        <f>'Proy. ventas'!AA144+'Proy. ventas'!AA145+'Proy. ventas'!AA146</f>
        <v>18</v>
      </c>
      <c r="AA61" s="473">
        <f t="shared" ref="AA61:AA70" si="37">Z61*$C61</f>
        <v>270</v>
      </c>
      <c r="AB61" s="475">
        <f t="shared" ref="AB61:AB70" si="38">E61+G61+I61+K61+M61+O61+Q61+S61+U61+W61+Y61+AA61</f>
        <v>3570</v>
      </c>
    </row>
    <row r="62" spans="1:28" ht="14.4" customHeight="1">
      <c r="A62" s="756"/>
      <c r="B62" s="474" t="s">
        <v>284</v>
      </c>
      <c r="C62" s="481">
        <v>5</v>
      </c>
      <c r="D62" s="482">
        <f>'Proy. ventas'!E145+'Proy. ventas'!E146</f>
        <v>14</v>
      </c>
      <c r="E62" s="473">
        <f t="shared" si="26"/>
        <v>70</v>
      </c>
      <c r="F62" s="482">
        <f>'Proy. ventas'!G145+'Proy. ventas'!G146</f>
        <v>14</v>
      </c>
      <c r="G62" s="473">
        <f t="shared" si="27"/>
        <v>70</v>
      </c>
      <c r="H62" s="482">
        <f>'Proy. ventas'!I145+'Proy. ventas'!I146</f>
        <v>14</v>
      </c>
      <c r="I62" s="473">
        <f t="shared" si="28"/>
        <v>70</v>
      </c>
      <c r="J62" s="482">
        <f>'Proy. ventas'!K145+'Proy. ventas'!K146</f>
        <v>14</v>
      </c>
      <c r="K62" s="473">
        <f t="shared" si="29"/>
        <v>70</v>
      </c>
      <c r="L62" s="482">
        <f>'Proy. ventas'!M145+'Proy. ventas'!M146</f>
        <v>14</v>
      </c>
      <c r="M62" s="473">
        <f t="shared" si="30"/>
        <v>70</v>
      </c>
      <c r="N62" s="482">
        <f>'Proy. ventas'!O145+'Proy. ventas'!O146</f>
        <v>14</v>
      </c>
      <c r="O62" s="473">
        <f t="shared" si="31"/>
        <v>70</v>
      </c>
      <c r="P62" s="482">
        <f>'Proy. ventas'!Q145+'Proy. ventas'!Q146</f>
        <v>14</v>
      </c>
      <c r="Q62" s="473">
        <f t="shared" si="32"/>
        <v>70</v>
      </c>
      <c r="R62" s="482">
        <f>'Proy. ventas'!S145+'Proy. ventas'!S146</f>
        <v>14</v>
      </c>
      <c r="S62" s="473">
        <f t="shared" si="33"/>
        <v>70</v>
      </c>
      <c r="T62" s="482">
        <f>'Proy. ventas'!U145+'Proy. ventas'!U146</f>
        <v>14</v>
      </c>
      <c r="U62" s="473">
        <f t="shared" si="34"/>
        <v>70</v>
      </c>
      <c r="V62" s="482">
        <f>'Proy. ventas'!W145+'Proy. ventas'!W146</f>
        <v>14</v>
      </c>
      <c r="W62" s="473">
        <f t="shared" si="35"/>
        <v>70</v>
      </c>
      <c r="X62" s="482">
        <f>'Proy. ventas'!Y145+'Proy. ventas'!Y146</f>
        <v>14</v>
      </c>
      <c r="Y62" s="473">
        <f t="shared" si="36"/>
        <v>70</v>
      </c>
      <c r="Z62" s="482">
        <f>'Proy. ventas'!AA145+'Proy. ventas'!AA146</f>
        <v>13</v>
      </c>
      <c r="AA62" s="473">
        <f t="shared" si="37"/>
        <v>65</v>
      </c>
      <c r="AB62" s="475">
        <f t="shared" si="38"/>
        <v>835</v>
      </c>
    </row>
    <row r="63" spans="1:28" ht="14.4" customHeight="1">
      <c r="A63" s="756"/>
      <c r="B63" s="474" t="s">
        <v>285</v>
      </c>
      <c r="C63" s="481">
        <v>0.35</v>
      </c>
      <c r="D63" s="482">
        <f>'Proy. ventas'!E147+'Proy. ventas'!E148+'Proy. ventas'!E149</f>
        <v>292</v>
      </c>
      <c r="E63" s="473">
        <f t="shared" si="26"/>
        <v>102.19999999999999</v>
      </c>
      <c r="F63" s="482">
        <f>'Proy. ventas'!G147+'Proy. ventas'!G148+'Proy. ventas'!G149</f>
        <v>312</v>
      </c>
      <c r="G63" s="473">
        <f t="shared" si="27"/>
        <v>109.19999999999999</v>
      </c>
      <c r="H63" s="482">
        <f>'Proy. ventas'!I147+'Proy. ventas'!I148+'Proy. ventas'!I149</f>
        <v>332</v>
      </c>
      <c r="I63" s="473">
        <f t="shared" si="28"/>
        <v>116.19999999999999</v>
      </c>
      <c r="J63" s="482">
        <f>'Proy. ventas'!K147+'Proy. ventas'!K148+'Proy. ventas'!K149</f>
        <v>352</v>
      </c>
      <c r="K63" s="473">
        <f t="shared" si="29"/>
        <v>123.19999999999999</v>
      </c>
      <c r="L63" s="482">
        <f>'Proy. ventas'!M147+'Proy. ventas'!M148+'Proy. ventas'!M149</f>
        <v>372</v>
      </c>
      <c r="M63" s="473">
        <f t="shared" si="30"/>
        <v>130.19999999999999</v>
      </c>
      <c r="N63" s="482">
        <f>'Proy. ventas'!O147+'Proy. ventas'!O148+'Proy. ventas'!O149</f>
        <v>392</v>
      </c>
      <c r="O63" s="473">
        <f t="shared" si="31"/>
        <v>137.19999999999999</v>
      </c>
      <c r="P63" s="482">
        <f>'Proy. ventas'!Q147+'Proy. ventas'!Q148+'Proy. ventas'!Q149</f>
        <v>412</v>
      </c>
      <c r="Q63" s="473">
        <f t="shared" si="32"/>
        <v>144.19999999999999</v>
      </c>
      <c r="R63" s="482">
        <f>'Proy. ventas'!S147+'Proy. ventas'!S148+'Proy. ventas'!S149</f>
        <v>432</v>
      </c>
      <c r="S63" s="473">
        <f t="shared" si="33"/>
        <v>151.19999999999999</v>
      </c>
      <c r="T63" s="482">
        <f>'Proy. ventas'!U147+'Proy. ventas'!U148+'Proy. ventas'!U149</f>
        <v>452</v>
      </c>
      <c r="U63" s="473">
        <f t="shared" si="34"/>
        <v>158.19999999999999</v>
      </c>
      <c r="V63" s="482">
        <f>'Proy. ventas'!W147+'Proy. ventas'!W148+'Proy. ventas'!W149</f>
        <v>472</v>
      </c>
      <c r="W63" s="473">
        <f t="shared" si="35"/>
        <v>165.2</v>
      </c>
      <c r="X63" s="482">
        <f>'Proy. ventas'!Y147+'Proy. ventas'!Y148+'Proy. ventas'!Y149</f>
        <v>492</v>
      </c>
      <c r="Y63" s="473">
        <f t="shared" si="36"/>
        <v>172.2</v>
      </c>
      <c r="Z63" s="482">
        <f>'Proy. ventas'!AA147+'Proy. ventas'!AA148+'Proy. ventas'!AA149</f>
        <v>510</v>
      </c>
      <c r="AA63" s="473">
        <f t="shared" si="37"/>
        <v>178.5</v>
      </c>
      <c r="AB63" s="475">
        <f t="shared" si="38"/>
        <v>1687.7000000000003</v>
      </c>
    </row>
    <row r="64" spans="1:28" ht="14.4" customHeight="1">
      <c r="A64" s="756"/>
      <c r="B64" s="474" t="s">
        <v>286</v>
      </c>
      <c r="C64" s="481">
        <v>0.15</v>
      </c>
      <c r="D64" s="482">
        <f>'Proy. ventas'!E147+'Proy. ventas'!E148+'Proy. ventas'!E149</f>
        <v>292</v>
      </c>
      <c r="E64" s="473">
        <f t="shared" si="26"/>
        <v>43.8</v>
      </c>
      <c r="F64" s="482">
        <f>'Proy. ventas'!G147+'Proy. ventas'!G148+'Proy. ventas'!G149</f>
        <v>312</v>
      </c>
      <c r="G64" s="473">
        <f t="shared" si="27"/>
        <v>46.8</v>
      </c>
      <c r="H64" s="482">
        <f>'Proy. ventas'!I147+'Proy. ventas'!I148+'Proy. ventas'!I149</f>
        <v>332</v>
      </c>
      <c r="I64" s="473">
        <f t="shared" si="28"/>
        <v>49.8</v>
      </c>
      <c r="J64" s="482">
        <f>'Proy. ventas'!K147+'Proy. ventas'!K148+'Proy. ventas'!K149</f>
        <v>352</v>
      </c>
      <c r="K64" s="473">
        <f t="shared" si="29"/>
        <v>52.8</v>
      </c>
      <c r="L64" s="482">
        <f>'Proy. ventas'!M147+'Proy. ventas'!M148+'Proy. ventas'!M149</f>
        <v>372</v>
      </c>
      <c r="M64" s="473">
        <f t="shared" si="30"/>
        <v>55.8</v>
      </c>
      <c r="N64" s="482">
        <f>'Proy. ventas'!O147+'Proy. ventas'!O148+'Proy. ventas'!O149</f>
        <v>392</v>
      </c>
      <c r="O64" s="473">
        <f t="shared" si="31"/>
        <v>58.8</v>
      </c>
      <c r="P64" s="482">
        <f>'Proy. ventas'!Q147+'Proy. ventas'!Q148+'Proy. ventas'!Q149</f>
        <v>412</v>
      </c>
      <c r="Q64" s="473">
        <f t="shared" si="32"/>
        <v>61.8</v>
      </c>
      <c r="R64" s="482">
        <f>'Proy. ventas'!S147+'Proy. ventas'!S148+'Proy. ventas'!S149</f>
        <v>432</v>
      </c>
      <c r="S64" s="473">
        <f t="shared" si="33"/>
        <v>64.8</v>
      </c>
      <c r="T64" s="482">
        <f>'Proy. ventas'!U147+'Proy. ventas'!U148+'Proy. ventas'!U149</f>
        <v>452</v>
      </c>
      <c r="U64" s="473">
        <f t="shared" si="34"/>
        <v>67.8</v>
      </c>
      <c r="V64" s="482">
        <f>'Proy. ventas'!W147+'Proy. ventas'!W148+'Proy. ventas'!W149</f>
        <v>472</v>
      </c>
      <c r="W64" s="473">
        <f t="shared" si="35"/>
        <v>70.8</v>
      </c>
      <c r="X64" s="482">
        <f>'Proy. ventas'!Y147+'Proy. ventas'!Y148+'Proy. ventas'!Y149</f>
        <v>492</v>
      </c>
      <c r="Y64" s="473">
        <f t="shared" si="36"/>
        <v>73.8</v>
      </c>
      <c r="Z64" s="482">
        <f>'Proy. ventas'!AA147+'Proy. ventas'!AA148+'Proy. ventas'!AA149</f>
        <v>510</v>
      </c>
      <c r="AA64" s="473">
        <f t="shared" si="37"/>
        <v>76.5</v>
      </c>
      <c r="AB64" s="475">
        <f t="shared" si="38"/>
        <v>723.3</v>
      </c>
    </row>
    <row r="65" spans="1:28" ht="14.4" customHeight="1">
      <c r="A65" s="756"/>
      <c r="B65" s="474" t="s">
        <v>287</v>
      </c>
      <c r="C65" s="481">
        <v>0.9</v>
      </c>
      <c r="D65" s="482">
        <f>'Proy. ventas'!E147+'Proy. ventas'!E148+'Proy. ventas'!E149</f>
        <v>292</v>
      </c>
      <c r="E65" s="473">
        <f t="shared" si="26"/>
        <v>262.8</v>
      </c>
      <c r="F65" s="482">
        <f>'Proy. ventas'!G147+'Proy. ventas'!G148+'Proy. ventas'!G149</f>
        <v>312</v>
      </c>
      <c r="G65" s="473">
        <f t="shared" si="27"/>
        <v>280.8</v>
      </c>
      <c r="H65" s="482">
        <f>'Proy. ventas'!I147+'Proy. ventas'!I148+'Proy. ventas'!I149</f>
        <v>332</v>
      </c>
      <c r="I65" s="473">
        <f t="shared" si="28"/>
        <v>298.8</v>
      </c>
      <c r="J65" s="482">
        <f>'Proy. ventas'!K147+'Proy. ventas'!K148+'Proy. ventas'!K149</f>
        <v>352</v>
      </c>
      <c r="K65" s="473">
        <f t="shared" si="29"/>
        <v>316.8</v>
      </c>
      <c r="L65" s="482">
        <f>'Proy. ventas'!M147+'Proy. ventas'!M148+'Proy. ventas'!M149</f>
        <v>372</v>
      </c>
      <c r="M65" s="473">
        <f t="shared" si="30"/>
        <v>334.8</v>
      </c>
      <c r="N65" s="482">
        <f>'Proy. ventas'!O147+'Proy. ventas'!O148+'Proy. ventas'!O149</f>
        <v>392</v>
      </c>
      <c r="O65" s="473">
        <f t="shared" si="31"/>
        <v>352.8</v>
      </c>
      <c r="P65" s="482">
        <f>'Proy. ventas'!Q147+'Proy. ventas'!Q148+'Proy. ventas'!Q149</f>
        <v>412</v>
      </c>
      <c r="Q65" s="473">
        <f t="shared" si="32"/>
        <v>370.8</v>
      </c>
      <c r="R65" s="482">
        <f>'Proy. ventas'!S147+'Proy. ventas'!S148+'Proy. ventas'!S149</f>
        <v>432</v>
      </c>
      <c r="S65" s="473">
        <f t="shared" si="33"/>
        <v>388.8</v>
      </c>
      <c r="T65" s="482">
        <f>'Proy. ventas'!U147+'Proy. ventas'!U148+'Proy. ventas'!U149</f>
        <v>452</v>
      </c>
      <c r="U65" s="473">
        <f t="shared" si="34"/>
        <v>406.8</v>
      </c>
      <c r="V65" s="482">
        <f>'Proy. ventas'!W147+'Proy. ventas'!W148+'Proy. ventas'!W149</f>
        <v>472</v>
      </c>
      <c r="W65" s="473">
        <f t="shared" si="35"/>
        <v>424.8</v>
      </c>
      <c r="X65" s="482">
        <f>'Proy. ventas'!Y147+'Proy. ventas'!Y148+'Proy. ventas'!Y149</f>
        <v>492</v>
      </c>
      <c r="Y65" s="473">
        <f t="shared" si="36"/>
        <v>442.8</v>
      </c>
      <c r="Z65" s="482">
        <f>'Proy. ventas'!AA147+'Proy. ventas'!AA148+'Proy. ventas'!AA149</f>
        <v>510</v>
      </c>
      <c r="AA65" s="473">
        <f t="shared" si="37"/>
        <v>459</v>
      </c>
      <c r="AB65" s="475">
        <f t="shared" si="38"/>
        <v>4339.8000000000011</v>
      </c>
    </row>
    <row r="66" spans="1:28" ht="14.4" customHeight="1">
      <c r="A66" s="752"/>
      <c r="B66" s="474" t="s">
        <v>288</v>
      </c>
      <c r="C66" s="481">
        <v>6</v>
      </c>
      <c r="D66" s="482">
        <f>'Proy. ventas'!E145+'Proy. ventas'!E146</f>
        <v>14</v>
      </c>
      <c r="E66" s="473">
        <f t="shared" si="26"/>
        <v>84</v>
      </c>
      <c r="F66" s="482">
        <f>'Proy. ventas'!G145+'Proy. ventas'!G146</f>
        <v>14</v>
      </c>
      <c r="G66" s="473">
        <f t="shared" si="27"/>
        <v>84</v>
      </c>
      <c r="H66" s="482">
        <f>'Proy. ventas'!I145+'Proy. ventas'!I146</f>
        <v>14</v>
      </c>
      <c r="I66" s="473">
        <f t="shared" si="28"/>
        <v>84</v>
      </c>
      <c r="J66" s="482">
        <f>'Proy. ventas'!K145+'Proy. ventas'!K146</f>
        <v>14</v>
      </c>
      <c r="K66" s="473">
        <f t="shared" si="29"/>
        <v>84</v>
      </c>
      <c r="L66" s="482">
        <f>'Proy. ventas'!M145+'Proy. ventas'!M146</f>
        <v>14</v>
      </c>
      <c r="M66" s="473">
        <f t="shared" si="30"/>
        <v>84</v>
      </c>
      <c r="N66" s="482">
        <f>'Proy. ventas'!O145+'Proy. ventas'!O146</f>
        <v>14</v>
      </c>
      <c r="O66" s="473">
        <f t="shared" si="31"/>
        <v>84</v>
      </c>
      <c r="P66" s="482">
        <f>'Proy. ventas'!Q145+'Proy. ventas'!Q146</f>
        <v>14</v>
      </c>
      <c r="Q66" s="473">
        <f t="shared" si="32"/>
        <v>84</v>
      </c>
      <c r="R66" s="482">
        <f>'Proy. ventas'!S145+'Proy. ventas'!S146</f>
        <v>14</v>
      </c>
      <c r="S66" s="473">
        <f t="shared" si="33"/>
        <v>84</v>
      </c>
      <c r="T66" s="482">
        <f>'Proy. ventas'!U145+'Proy. ventas'!U146</f>
        <v>14</v>
      </c>
      <c r="U66" s="473">
        <f t="shared" si="34"/>
        <v>84</v>
      </c>
      <c r="V66" s="482">
        <f>'Proy. ventas'!W145+'Proy. ventas'!W146</f>
        <v>14</v>
      </c>
      <c r="W66" s="473">
        <f t="shared" si="35"/>
        <v>84</v>
      </c>
      <c r="X66" s="482">
        <f>'Proy. ventas'!Y145+'Proy. ventas'!Y146</f>
        <v>14</v>
      </c>
      <c r="Y66" s="473">
        <f t="shared" si="36"/>
        <v>84</v>
      </c>
      <c r="Z66" s="482">
        <f>'Proy. ventas'!AA145+'Proy. ventas'!AA146</f>
        <v>13</v>
      </c>
      <c r="AA66" s="473">
        <f t="shared" si="37"/>
        <v>78</v>
      </c>
      <c r="AB66" s="475">
        <f t="shared" si="38"/>
        <v>1002</v>
      </c>
    </row>
    <row r="67" spans="1:28" ht="14.4" customHeight="1">
      <c r="A67" s="751" t="s">
        <v>289</v>
      </c>
      <c r="B67" s="474" t="s">
        <v>290</v>
      </c>
      <c r="C67" s="481">
        <f>Hipótesis!$C$58*0.3</f>
        <v>7.5</v>
      </c>
      <c r="D67" s="482">
        <f>'Proy. ventas'!E144</f>
        <v>6</v>
      </c>
      <c r="E67" s="473">
        <f t="shared" si="26"/>
        <v>45</v>
      </c>
      <c r="F67" s="482">
        <f>'Proy. ventas'!G144</f>
        <v>6</v>
      </c>
      <c r="G67" s="473">
        <f t="shared" si="27"/>
        <v>45</v>
      </c>
      <c r="H67" s="482">
        <f>'Proy. ventas'!I144</f>
        <v>6</v>
      </c>
      <c r="I67" s="473">
        <f t="shared" si="28"/>
        <v>45</v>
      </c>
      <c r="J67" s="482">
        <f>'Proy. ventas'!K144</f>
        <v>6</v>
      </c>
      <c r="K67" s="473">
        <f t="shared" si="29"/>
        <v>45</v>
      </c>
      <c r="L67" s="482">
        <f>'Proy. ventas'!M144</f>
        <v>6</v>
      </c>
      <c r="M67" s="473">
        <f t="shared" si="30"/>
        <v>45</v>
      </c>
      <c r="N67" s="482">
        <f>'Proy. ventas'!O144</f>
        <v>6</v>
      </c>
      <c r="O67" s="473">
        <f t="shared" si="31"/>
        <v>45</v>
      </c>
      <c r="P67" s="482">
        <f>'Proy. ventas'!Q144</f>
        <v>6</v>
      </c>
      <c r="Q67" s="473">
        <f t="shared" si="32"/>
        <v>45</v>
      </c>
      <c r="R67" s="482">
        <f>'Proy. ventas'!S144</f>
        <v>6</v>
      </c>
      <c r="S67" s="473">
        <f t="shared" si="33"/>
        <v>45</v>
      </c>
      <c r="T67" s="482">
        <f>'Proy. ventas'!U144</f>
        <v>6</v>
      </c>
      <c r="U67" s="473">
        <f t="shared" si="34"/>
        <v>45</v>
      </c>
      <c r="V67" s="482">
        <f>'Proy. ventas'!W144</f>
        <v>6</v>
      </c>
      <c r="W67" s="473">
        <f t="shared" si="35"/>
        <v>45</v>
      </c>
      <c r="X67" s="482">
        <f>'Proy. ventas'!Y144</f>
        <v>6</v>
      </c>
      <c r="Y67" s="473">
        <f t="shared" si="36"/>
        <v>45</v>
      </c>
      <c r="Z67" s="482">
        <f>'Proy. ventas'!AA144</f>
        <v>5</v>
      </c>
      <c r="AA67" s="473">
        <f t="shared" si="37"/>
        <v>37.5</v>
      </c>
      <c r="AB67" s="475">
        <f t="shared" si="38"/>
        <v>532.5</v>
      </c>
    </row>
    <row r="68" spans="1:28" ht="14.4" customHeight="1">
      <c r="A68" s="756"/>
      <c r="B68" s="474" t="s">
        <v>291</v>
      </c>
      <c r="C68" s="481">
        <f>Hipótesis!$C$59*0.3</f>
        <v>18</v>
      </c>
      <c r="D68" s="482">
        <f>'Proy. ventas'!E145</f>
        <v>12</v>
      </c>
      <c r="E68" s="473">
        <f t="shared" si="26"/>
        <v>216</v>
      </c>
      <c r="F68" s="482">
        <f>'Proy. ventas'!G145</f>
        <v>12</v>
      </c>
      <c r="G68" s="473">
        <f t="shared" si="27"/>
        <v>216</v>
      </c>
      <c r="H68" s="482">
        <f>'Proy. ventas'!I145</f>
        <v>12</v>
      </c>
      <c r="I68" s="473">
        <f t="shared" si="28"/>
        <v>216</v>
      </c>
      <c r="J68" s="482">
        <f>'Proy. ventas'!K145</f>
        <v>12</v>
      </c>
      <c r="K68" s="473">
        <f t="shared" si="29"/>
        <v>216</v>
      </c>
      <c r="L68" s="482">
        <f>'Proy. ventas'!M145</f>
        <v>12</v>
      </c>
      <c r="M68" s="473">
        <f t="shared" si="30"/>
        <v>216</v>
      </c>
      <c r="N68" s="482">
        <f>'Proy. ventas'!O145</f>
        <v>12</v>
      </c>
      <c r="O68" s="473">
        <f t="shared" si="31"/>
        <v>216</v>
      </c>
      <c r="P68" s="482">
        <f>'Proy. ventas'!Q145</f>
        <v>12</v>
      </c>
      <c r="Q68" s="473">
        <f t="shared" si="32"/>
        <v>216</v>
      </c>
      <c r="R68" s="482">
        <f>'Proy. ventas'!S145</f>
        <v>12</v>
      </c>
      <c r="S68" s="473">
        <f t="shared" si="33"/>
        <v>216</v>
      </c>
      <c r="T68" s="482">
        <f>'Proy. ventas'!U145</f>
        <v>12</v>
      </c>
      <c r="U68" s="473">
        <f t="shared" si="34"/>
        <v>216</v>
      </c>
      <c r="V68" s="482">
        <f>'Proy. ventas'!W145</f>
        <v>12</v>
      </c>
      <c r="W68" s="473">
        <f t="shared" si="35"/>
        <v>216</v>
      </c>
      <c r="X68" s="482">
        <f>'Proy. ventas'!Y145</f>
        <v>12</v>
      </c>
      <c r="Y68" s="473">
        <f t="shared" si="36"/>
        <v>216</v>
      </c>
      <c r="Z68" s="482">
        <f>'Proy. ventas'!AA145</f>
        <v>11</v>
      </c>
      <c r="AA68" s="473">
        <f t="shared" si="37"/>
        <v>198</v>
      </c>
      <c r="AB68" s="475">
        <f t="shared" si="38"/>
        <v>2574</v>
      </c>
    </row>
    <row r="69" spans="1:28" ht="14.4" customHeight="1">
      <c r="A69" s="756"/>
      <c r="B69" s="474" t="s">
        <v>292</v>
      </c>
      <c r="C69" s="481">
        <f>Hipótesis!$C$60*0.3</f>
        <v>75</v>
      </c>
      <c r="D69" s="482">
        <f>'Proy. ventas'!E146</f>
        <v>2</v>
      </c>
      <c r="E69" s="473">
        <f t="shared" si="26"/>
        <v>150</v>
      </c>
      <c r="F69" s="482">
        <f>'Proy. ventas'!G146</f>
        <v>2</v>
      </c>
      <c r="G69" s="473">
        <f t="shared" si="27"/>
        <v>150</v>
      </c>
      <c r="H69" s="482">
        <f>'Proy. ventas'!I146</f>
        <v>2</v>
      </c>
      <c r="I69" s="473">
        <f t="shared" si="28"/>
        <v>150</v>
      </c>
      <c r="J69" s="482">
        <f>'Proy. ventas'!K146</f>
        <v>2</v>
      </c>
      <c r="K69" s="473">
        <f t="shared" si="29"/>
        <v>150</v>
      </c>
      <c r="L69" s="482">
        <f>'Proy. ventas'!M146</f>
        <v>2</v>
      </c>
      <c r="M69" s="473">
        <f t="shared" si="30"/>
        <v>150</v>
      </c>
      <c r="N69" s="482">
        <f>'Proy. ventas'!O146</f>
        <v>2</v>
      </c>
      <c r="O69" s="473">
        <f t="shared" si="31"/>
        <v>150</v>
      </c>
      <c r="P69" s="482">
        <f>'Proy. ventas'!Q146</f>
        <v>2</v>
      </c>
      <c r="Q69" s="473">
        <f t="shared" si="32"/>
        <v>150</v>
      </c>
      <c r="R69" s="482">
        <f>'Proy. ventas'!S146</f>
        <v>2</v>
      </c>
      <c r="S69" s="473">
        <f t="shared" si="33"/>
        <v>150</v>
      </c>
      <c r="T69" s="482">
        <f>'Proy. ventas'!U146</f>
        <v>2</v>
      </c>
      <c r="U69" s="473">
        <f t="shared" si="34"/>
        <v>150</v>
      </c>
      <c r="V69" s="482">
        <f>'Proy. ventas'!W146</f>
        <v>2</v>
      </c>
      <c r="W69" s="473">
        <f t="shared" si="35"/>
        <v>150</v>
      </c>
      <c r="X69" s="482">
        <f>'Proy. ventas'!Y146</f>
        <v>2</v>
      </c>
      <c r="Y69" s="473">
        <f t="shared" si="36"/>
        <v>150</v>
      </c>
      <c r="Z69" s="482">
        <f>'Proy. ventas'!AA146</f>
        <v>2</v>
      </c>
      <c r="AA69" s="473">
        <f t="shared" si="37"/>
        <v>150</v>
      </c>
      <c r="AB69" s="475">
        <f t="shared" si="38"/>
        <v>1800</v>
      </c>
    </row>
    <row r="70" spans="1:28" ht="14.4" customHeight="1">
      <c r="A70" s="752"/>
      <c r="B70" s="474" t="s">
        <v>293</v>
      </c>
      <c r="C70" s="481">
        <v>10</v>
      </c>
      <c r="D70" s="482">
        <f>ROUND(('Proy. ventas'!E144+'Proy. ventas'!E145+'Proy. ventas'!E146)*0.3,0)</f>
        <v>6</v>
      </c>
      <c r="E70" s="473">
        <f t="shared" si="26"/>
        <v>60</v>
      </c>
      <c r="F70" s="482">
        <f>ROUND(('Proy. ventas'!G144+'Proy. ventas'!G145+'Proy. ventas'!G146)*0.3,0)</f>
        <v>6</v>
      </c>
      <c r="G70" s="473">
        <f t="shared" si="27"/>
        <v>60</v>
      </c>
      <c r="H70" s="482">
        <f>ROUND(('Proy. ventas'!I144+'Proy. ventas'!I145+'Proy. ventas'!I146)*0.3,0)</f>
        <v>6</v>
      </c>
      <c r="I70" s="473">
        <f t="shared" si="28"/>
        <v>60</v>
      </c>
      <c r="J70" s="482">
        <f>ROUND(('Proy. ventas'!K144+'Proy. ventas'!K145+'Proy. ventas'!K146)*0.3,0)</f>
        <v>6</v>
      </c>
      <c r="K70" s="473">
        <f t="shared" si="29"/>
        <v>60</v>
      </c>
      <c r="L70" s="482">
        <f>ROUND(('Proy. ventas'!M144+'Proy. ventas'!M145+'Proy. ventas'!M146)*0.3,0)</f>
        <v>6</v>
      </c>
      <c r="M70" s="473">
        <f t="shared" si="30"/>
        <v>60</v>
      </c>
      <c r="N70" s="482">
        <f>ROUND(('Proy. ventas'!O144+'Proy. ventas'!O145+'Proy. ventas'!O146)*0.3,0)</f>
        <v>6</v>
      </c>
      <c r="O70" s="473">
        <f t="shared" si="31"/>
        <v>60</v>
      </c>
      <c r="P70" s="482">
        <f>ROUND(('Proy. ventas'!Q144+'Proy. ventas'!Q145+'Proy. ventas'!Q146)*0.3,0)</f>
        <v>6</v>
      </c>
      <c r="Q70" s="473">
        <f t="shared" si="32"/>
        <v>60</v>
      </c>
      <c r="R70" s="482">
        <f>ROUND(('Proy. ventas'!S144+'Proy. ventas'!S145+'Proy. ventas'!S146)*0.3,0)</f>
        <v>6</v>
      </c>
      <c r="S70" s="473">
        <f t="shared" si="33"/>
        <v>60</v>
      </c>
      <c r="T70" s="482">
        <f>ROUND(('Proy. ventas'!U144+'Proy. ventas'!U145+'Proy. ventas'!U146)*0.3,0)</f>
        <v>6</v>
      </c>
      <c r="U70" s="473">
        <f t="shared" si="34"/>
        <v>60</v>
      </c>
      <c r="V70" s="482">
        <f>ROUND(('Proy. ventas'!W144+'Proy. ventas'!W145+'Proy. ventas'!W146)*0.3,0)</f>
        <v>6</v>
      </c>
      <c r="W70" s="473">
        <f t="shared" si="35"/>
        <v>60</v>
      </c>
      <c r="X70" s="482">
        <f>ROUND(('Proy. ventas'!Y144+'Proy. ventas'!Y145+'Proy. ventas'!Y146)*0.3,0)</f>
        <v>6</v>
      </c>
      <c r="Y70" s="473">
        <f t="shared" si="36"/>
        <v>60</v>
      </c>
      <c r="Z70" s="482">
        <f>ROUND(('Proy. ventas'!AA144+'Proy. ventas'!AA145+'Proy. ventas'!AA146)*0.3,0)</f>
        <v>5</v>
      </c>
      <c r="AA70" s="473">
        <f t="shared" si="37"/>
        <v>50</v>
      </c>
      <c r="AB70" s="475">
        <f t="shared" si="38"/>
        <v>710</v>
      </c>
    </row>
    <row r="71" spans="1:28" ht="14.4" customHeight="1">
      <c r="B71" s="237"/>
      <c r="C71" s="238"/>
      <c r="D71" s="239"/>
      <c r="E71" s="240"/>
      <c r="F71" s="239"/>
      <c r="G71" s="240"/>
      <c r="H71" s="239"/>
      <c r="I71" s="240"/>
      <c r="J71" s="239"/>
      <c r="K71" s="240"/>
      <c r="L71" s="239"/>
      <c r="M71" s="240"/>
      <c r="N71" s="239"/>
      <c r="O71" s="240"/>
      <c r="P71" s="239"/>
      <c r="Q71" s="240"/>
      <c r="R71" s="239"/>
      <c r="S71" s="240"/>
      <c r="T71" s="239"/>
      <c r="U71" s="240"/>
      <c r="V71" s="239"/>
      <c r="W71" s="240"/>
      <c r="X71" s="239"/>
      <c r="Y71" s="240"/>
      <c r="Z71" s="239"/>
      <c r="AA71" s="240"/>
      <c r="AB71" s="236"/>
    </row>
    <row r="72" spans="1:28" ht="14.4" customHeight="1">
      <c r="B72" s="237"/>
      <c r="C72" s="238"/>
      <c r="D72" s="239"/>
      <c r="E72" s="240"/>
      <c r="F72" s="239"/>
      <c r="G72" s="240"/>
      <c r="H72" s="239"/>
      <c r="I72" s="240"/>
      <c r="J72" s="239"/>
      <c r="K72" s="240"/>
      <c r="L72" s="239"/>
      <c r="M72" s="240"/>
      <c r="N72" s="239"/>
      <c r="O72" s="240"/>
      <c r="P72" s="239"/>
      <c r="Q72" s="240"/>
      <c r="R72" s="239"/>
      <c r="S72" s="240"/>
      <c r="T72" s="239"/>
      <c r="U72" s="240"/>
      <c r="V72" s="239"/>
      <c r="W72" s="240"/>
      <c r="X72" s="239"/>
      <c r="Y72" s="240"/>
      <c r="Z72" s="239"/>
      <c r="AA72" s="240"/>
      <c r="AB72" s="236"/>
    </row>
    <row r="73" spans="1:28" ht="14.4" customHeight="1">
      <c r="B73" s="241"/>
      <c r="C73" s="242"/>
      <c r="D73" s="239"/>
      <c r="E73" s="240"/>
      <c r="F73" s="239"/>
      <c r="G73" s="240"/>
      <c r="H73" s="239"/>
      <c r="I73" s="240"/>
      <c r="J73" s="239"/>
      <c r="K73" s="240"/>
      <c r="L73" s="239"/>
      <c r="M73" s="240"/>
      <c r="N73" s="239"/>
      <c r="O73" s="240"/>
      <c r="P73" s="239"/>
      <c r="Q73" s="240"/>
      <c r="R73" s="239"/>
      <c r="S73" s="240"/>
      <c r="T73" s="239"/>
      <c r="U73" s="240"/>
      <c r="V73" s="239"/>
      <c r="W73" s="240"/>
      <c r="X73" s="239"/>
      <c r="Y73" s="240"/>
      <c r="Z73" s="239"/>
      <c r="AA73" s="240"/>
      <c r="AB73" s="236"/>
    </row>
    <row r="74" spans="1:28" ht="14.4" customHeight="1">
      <c r="B74" s="241"/>
      <c r="C74" s="242"/>
      <c r="D74" s="239"/>
      <c r="E74" s="240"/>
      <c r="F74" s="239"/>
      <c r="G74" s="240"/>
      <c r="H74" s="239"/>
      <c r="I74" s="240"/>
      <c r="J74" s="239"/>
      <c r="K74" s="240"/>
      <c r="L74" s="239"/>
      <c r="M74" s="240"/>
      <c r="N74" s="239"/>
      <c r="O74" s="240"/>
      <c r="P74" s="239"/>
      <c r="Q74" s="240"/>
      <c r="R74" s="239"/>
      <c r="S74" s="240"/>
      <c r="T74" s="239"/>
      <c r="U74" s="240"/>
      <c r="V74" s="239"/>
      <c r="W74" s="240"/>
      <c r="X74" s="239"/>
      <c r="Y74" s="240"/>
      <c r="Z74" s="239"/>
      <c r="AA74" s="240"/>
      <c r="AB74" s="236"/>
    </row>
    <row r="75" spans="1:28" ht="14.4" customHeight="1">
      <c r="B75" s="241"/>
      <c r="C75" s="242"/>
      <c r="D75" s="239"/>
      <c r="E75" s="240"/>
      <c r="F75" s="239"/>
      <c r="G75" s="240"/>
      <c r="H75" s="239"/>
      <c r="I75" s="240"/>
      <c r="J75" s="239"/>
      <c r="K75" s="240"/>
      <c r="L75" s="239"/>
      <c r="M75" s="240"/>
      <c r="N75" s="239"/>
      <c r="O75" s="240"/>
      <c r="P75" s="239"/>
      <c r="Q75" s="240"/>
      <c r="R75" s="239"/>
      <c r="S75" s="240"/>
      <c r="T75" s="239"/>
      <c r="U75" s="240"/>
      <c r="V75" s="239"/>
      <c r="W75" s="240"/>
      <c r="X75" s="239"/>
      <c r="Y75" s="240"/>
      <c r="Z75" s="239"/>
      <c r="AA75" s="240"/>
      <c r="AB75" s="236"/>
    </row>
    <row r="76" spans="1:28" ht="14.4" customHeight="1">
      <c r="B76" s="254"/>
      <c r="C76" s="255"/>
      <c r="D76" s="245"/>
      <c r="E76" s="246"/>
      <c r="F76" s="247"/>
      <c r="G76" s="246"/>
      <c r="H76" s="247"/>
      <c r="I76" s="246"/>
      <c r="J76" s="247"/>
      <c r="K76" s="246"/>
      <c r="L76" s="247"/>
      <c r="M76" s="246"/>
      <c r="N76" s="247"/>
      <c r="O76" s="246"/>
      <c r="P76" s="247"/>
      <c r="Q76" s="246"/>
      <c r="R76" s="247"/>
      <c r="S76" s="246"/>
      <c r="T76" s="247"/>
      <c r="U76" s="246"/>
      <c r="V76" s="247"/>
      <c r="W76" s="246"/>
      <c r="X76" s="247"/>
      <c r="Y76" s="246"/>
      <c r="Z76" s="247"/>
      <c r="AA76" s="240"/>
      <c r="AB76" s="256"/>
    </row>
    <row r="77" spans="1:28" ht="14.4" customHeight="1">
      <c r="A77" s="248"/>
      <c r="B77" s="249"/>
      <c r="C77" s="250"/>
      <c r="D77" s="251"/>
      <c r="E77" s="252"/>
      <c r="F77" s="253"/>
      <c r="G77" s="252"/>
      <c r="H77" s="253"/>
      <c r="I77" s="252"/>
      <c r="J77" s="253"/>
      <c r="K77" s="252"/>
      <c r="L77" s="253"/>
      <c r="M77" s="252"/>
      <c r="N77" s="253"/>
      <c r="O77" s="252"/>
      <c r="P77" s="253"/>
      <c r="Q77" s="252"/>
      <c r="R77" s="253"/>
      <c r="S77" s="252"/>
      <c r="T77" s="253"/>
      <c r="U77" s="252"/>
      <c r="V77" s="253"/>
      <c r="W77" s="252"/>
      <c r="X77" s="253"/>
      <c r="Y77" s="252"/>
      <c r="Z77" s="253"/>
      <c r="AA77" s="252"/>
      <c r="AB77" s="235"/>
    </row>
    <row r="78" spans="1:28" ht="14.4" customHeight="1">
      <c r="A78" s="478"/>
      <c r="B78" s="477" t="s">
        <v>273</v>
      </c>
      <c r="C78" s="478"/>
      <c r="D78" s="478"/>
      <c r="E78" s="479">
        <f>SUM(E61:E70)</f>
        <v>1333.8</v>
      </c>
      <c r="F78" s="483"/>
      <c r="G78" s="479">
        <f>SUM(G61:G70)</f>
        <v>1361.8</v>
      </c>
      <c r="H78" s="483"/>
      <c r="I78" s="479">
        <f>SUM(I61:I70)</f>
        <v>1389.8</v>
      </c>
      <c r="J78" s="483"/>
      <c r="K78" s="479">
        <f>SUM(K61:K70)</f>
        <v>1417.8</v>
      </c>
      <c r="L78" s="483"/>
      <c r="M78" s="479">
        <f>SUM(M61:M70)</f>
        <v>1445.8</v>
      </c>
      <c r="N78" s="478"/>
      <c r="O78" s="479">
        <f>SUM(O61:O70)</f>
        <v>1473.8</v>
      </c>
      <c r="P78" s="483"/>
      <c r="Q78" s="479">
        <f>SUM(Q61:Q70)</f>
        <v>1501.8</v>
      </c>
      <c r="R78" s="483"/>
      <c r="S78" s="479">
        <f>SUM(S61:S70)</f>
        <v>1529.8</v>
      </c>
      <c r="T78" s="483"/>
      <c r="U78" s="479">
        <f>SUM(U61:U70)</f>
        <v>1557.8</v>
      </c>
      <c r="V78" s="483"/>
      <c r="W78" s="479">
        <f>SUM(W61:W70)</f>
        <v>1585.8</v>
      </c>
      <c r="X78" s="483"/>
      <c r="Y78" s="479">
        <f>SUM(Y61:Y70)</f>
        <v>1613.8</v>
      </c>
      <c r="Z78" s="483"/>
      <c r="AA78" s="479">
        <f>SUM(AA61:AA70)</f>
        <v>1562.5</v>
      </c>
      <c r="AB78" s="479">
        <f>SUM(AB61:AB70)</f>
        <v>17774.300000000003</v>
      </c>
    </row>
    <row r="79" spans="1:28"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4"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4"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4"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4"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4"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4"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4"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4"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4"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4"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4"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4"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sheetData>
  <mergeCells count="48">
    <mergeCell ref="A67:A70"/>
    <mergeCell ref="A15:A20"/>
    <mergeCell ref="R13:S13"/>
    <mergeCell ref="J59:K59"/>
    <mergeCell ref="D36:E36"/>
    <mergeCell ref="J13:K13"/>
    <mergeCell ref="R59:S59"/>
    <mergeCell ref="J36:K36"/>
    <mergeCell ref="N59:O59"/>
    <mergeCell ref="A44:A47"/>
    <mergeCell ref="L59:M59"/>
    <mergeCell ref="AB59:AB60"/>
    <mergeCell ref="L13:M13"/>
    <mergeCell ref="X13:Y13"/>
    <mergeCell ref="A61:A66"/>
    <mergeCell ref="F59:G59"/>
    <mergeCell ref="H59:I59"/>
    <mergeCell ref="P59:Q59"/>
    <mergeCell ref="D13:E13"/>
    <mergeCell ref="T59:U59"/>
    <mergeCell ref="V59:W59"/>
    <mergeCell ref="A21:A24"/>
    <mergeCell ref="P36:Q36"/>
    <mergeCell ref="F36:G36"/>
    <mergeCell ref="R36:S36"/>
    <mergeCell ref="H36:I36"/>
    <mergeCell ref="AB36:AB37"/>
    <mergeCell ref="AB13:AB14"/>
    <mergeCell ref="V36:W36"/>
    <mergeCell ref="F13:G13"/>
    <mergeCell ref="P13:Q13"/>
    <mergeCell ref="H13:I13"/>
    <mergeCell ref="N13:O13"/>
    <mergeCell ref="T13:U13"/>
    <mergeCell ref="Z13:AA13"/>
    <mergeCell ref="V13:W13"/>
    <mergeCell ref="X59:Y59"/>
    <mergeCell ref="H4:J4"/>
    <mergeCell ref="A38:A43"/>
    <mergeCell ref="Z59:AA59"/>
    <mergeCell ref="T36:U36"/>
    <mergeCell ref="L36:M36"/>
    <mergeCell ref="X36:Y36"/>
    <mergeCell ref="N36:O36"/>
    <mergeCell ref="D59:E59"/>
    <mergeCell ref="Z36:AA36"/>
    <mergeCell ref="B4:D4"/>
    <mergeCell ref="H8:J8"/>
  </mergeCell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399"/>
  <sheetViews>
    <sheetView workbookViewId="0">
      <pane ySplit="1" topLeftCell="A2" activePane="bottomLeft" state="frozen"/>
      <selection pane="bottomLeft"/>
    </sheetView>
  </sheetViews>
  <sheetFormatPr defaultColWidth="12.59765625" defaultRowHeight="15" customHeight="1"/>
  <cols>
    <col min="1" max="1" width="10" customWidth="1"/>
    <col min="2" max="2" width="36" customWidth="1"/>
    <col min="3" max="3" width="30" customWidth="1"/>
    <col min="4" max="4" width="14" customWidth="1"/>
    <col min="5" max="7" width="12" customWidth="1"/>
    <col min="8" max="8" width="13" customWidth="1"/>
    <col min="9" max="10" width="12" customWidth="1"/>
    <col min="11" max="11" width="14" customWidth="1"/>
    <col min="12" max="12" width="18" customWidth="1"/>
    <col min="13" max="14" width="12" customWidth="1"/>
    <col min="15" max="15" width="16" customWidth="1"/>
    <col min="16" max="16" width="12.59765625" customWidth="1"/>
    <col min="17" max="17" width="8.3984375" customWidth="1"/>
    <col min="18" max="18" width="12.59765625" customWidth="1"/>
    <col min="19" max="19" width="10.59765625" customWidth="1"/>
    <col min="20" max="20" width="12.59765625" customWidth="1"/>
    <col min="21" max="21" width="8.3984375" customWidth="1"/>
    <col min="22" max="22" width="12.59765625" customWidth="1"/>
    <col min="23" max="23" width="10.19921875" customWidth="1"/>
    <col min="24" max="24" width="12.59765625" customWidth="1"/>
    <col min="25" max="25" width="14.5" customWidth="1"/>
    <col min="26" max="26" width="12.59765625" customWidth="1"/>
    <col min="27" max="27" width="14.09765625" customWidth="1"/>
    <col min="28" max="28" width="10" customWidth="1"/>
    <col min="29" max="29" width="10.8984375" customWidth="1"/>
    <col min="30" max="31" width="10" customWidth="1"/>
  </cols>
  <sheetData>
    <row r="1" spans="1:31" ht="46.2" customHeight="1">
      <c r="A1" s="8"/>
      <c r="B1" s="8"/>
      <c r="C1" s="8"/>
      <c r="D1" s="8"/>
      <c r="E1" s="468" t="s">
        <v>13</v>
      </c>
      <c r="F1" s="257"/>
      <c r="G1" s="257"/>
      <c r="H1" s="8"/>
      <c r="I1" s="8"/>
      <c r="J1" s="8"/>
      <c r="K1" s="8"/>
      <c r="L1" s="8"/>
      <c r="M1" s="8"/>
      <c r="N1" s="8"/>
      <c r="O1" s="8"/>
      <c r="P1" s="8"/>
      <c r="Q1" s="8"/>
      <c r="R1" s="8"/>
      <c r="S1" s="8"/>
      <c r="T1" s="8"/>
      <c r="U1" s="8"/>
      <c r="V1" s="8"/>
      <c r="W1" s="8"/>
      <c r="X1" s="8"/>
      <c r="Y1" s="8"/>
      <c r="Z1" s="8"/>
      <c r="AA1" s="8"/>
      <c r="AB1" s="8"/>
      <c r="AC1" s="8"/>
      <c r="AD1" s="8"/>
      <c r="AE1" s="8"/>
    </row>
    <row r="2" spans="1:31" ht="1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1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1" ht="15" customHeight="1">
      <c r="A4" s="1"/>
      <c r="B4" s="753" t="s">
        <v>72</v>
      </c>
      <c r="C4" s="754"/>
      <c r="D4" s="755"/>
      <c r="E4" s="25"/>
      <c r="F4" s="1"/>
      <c r="G4" s="1"/>
      <c r="H4" s="753" t="s">
        <v>296</v>
      </c>
      <c r="I4" s="754"/>
      <c r="J4" s="755"/>
      <c r="K4" s="1"/>
      <c r="L4" s="1"/>
      <c r="M4" s="1"/>
      <c r="N4" s="1"/>
      <c r="O4" s="1"/>
      <c r="P4" s="1"/>
      <c r="Q4" s="1"/>
      <c r="R4" s="1"/>
      <c r="S4" s="1"/>
      <c r="T4" s="1"/>
      <c r="U4" s="1"/>
      <c r="V4" s="1"/>
      <c r="W4" s="1"/>
      <c r="X4" s="1"/>
      <c r="Y4" s="1"/>
      <c r="Z4" s="1"/>
      <c r="AA4" s="1"/>
      <c r="AB4" s="1"/>
      <c r="AC4" s="1"/>
      <c r="AD4" s="1"/>
      <c r="AE4" s="1"/>
    </row>
    <row r="5" spans="1:31" ht="15" customHeight="1">
      <c r="A5" s="1"/>
      <c r="B5" s="470">
        <v>2026</v>
      </c>
      <c r="C5" s="470">
        <v>2027</v>
      </c>
      <c r="D5" s="470">
        <v>2028</v>
      </c>
      <c r="E5" s="201"/>
      <c r="F5" s="1"/>
      <c r="G5" s="1"/>
      <c r="H5" s="470">
        <v>2026</v>
      </c>
      <c r="I5" s="470">
        <v>2027</v>
      </c>
      <c r="J5" s="470">
        <v>2028</v>
      </c>
      <c r="K5" s="1"/>
      <c r="L5" s="1"/>
      <c r="M5" s="1"/>
      <c r="N5" s="1"/>
      <c r="O5" s="1"/>
      <c r="P5" s="1"/>
      <c r="Q5" s="1"/>
      <c r="R5" s="1"/>
      <c r="S5" s="1"/>
      <c r="T5" s="1"/>
      <c r="U5" s="1"/>
      <c r="V5" s="1"/>
      <c r="W5" s="1"/>
      <c r="X5" s="1"/>
      <c r="Y5" s="1"/>
      <c r="Z5" s="1"/>
      <c r="AA5" s="1"/>
      <c r="AB5" s="1"/>
      <c r="AC5" s="1"/>
      <c r="AD5" s="1"/>
      <c r="AE5" s="1"/>
    </row>
    <row r="6" spans="1:31" ht="15" customHeight="1">
      <c r="A6" s="1"/>
      <c r="B6" s="471">
        <f>Hipótesis!C24</f>
        <v>0.03</v>
      </c>
      <c r="C6" s="471">
        <f>Hipótesis!C25</f>
        <v>0.08</v>
      </c>
      <c r="D6" s="471">
        <f>Hipótesis!C26</f>
        <v>0.15</v>
      </c>
      <c r="E6" s="234"/>
      <c r="F6" s="1"/>
      <c r="G6" s="1"/>
      <c r="H6" s="472">
        <f>O39</f>
        <v>122984.64000000001</v>
      </c>
      <c r="I6" s="472">
        <f>O57</f>
        <v>150323.35999999999</v>
      </c>
      <c r="J6" s="472">
        <f>O75</f>
        <v>183152.53000000003</v>
      </c>
      <c r="K6" s="1"/>
      <c r="L6" s="1"/>
      <c r="M6" s="1"/>
      <c r="N6" s="1"/>
      <c r="O6" s="1"/>
      <c r="P6" s="1"/>
      <c r="Q6" s="1"/>
      <c r="R6" s="1"/>
      <c r="S6" s="1"/>
      <c r="T6" s="1"/>
      <c r="U6" s="1"/>
      <c r="V6" s="1"/>
      <c r="W6" s="1"/>
      <c r="X6" s="1"/>
      <c r="Y6" s="1"/>
      <c r="Z6" s="1"/>
      <c r="AA6" s="1"/>
      <c r="AB6" s="1"/>
      <c r="AC6" s="1"/>
      <c r="AD6" s="1"/>
      <c r="AE6" s="1"/>
    </row>
    <row r="7" spans="1:31" ht="15" customHeight="1">
      <c r="A7" s="1"/>
      <c r="B7" s="473">
        <f>Hipótesis!D24</f>
        <v>48960</v>
      </c>
      <c r="C7" s="473">
        <f>Hipótesis!D25</f>
        <v>130560</v>
      </c>
      <c r="D7" s="473">
        <f>Hipótesis!D26</f>
        <v>244800</v>
      </c>
      <c r="E7" s="232"/>
      <c r="F7" s="1"/>
      <c r="G7" s="1"/>
      <c r="H7" s="1"/>
      <c r="I7" s="1"/>
      <c r="J7" s="1"/>
      <c r="K7" s="1"/>
      <c r="L7" s="1"/>
      <c r="M7" s="1"/>
      <c r="N7" s="1"/>
      <c r="O7" s="1"/>
      <c r="P7" s="1"/>
      <c r="Q7" s="1"/>
      <c r="R7" s="1"/>
      <c r="S7" s="1"/>
      <c r="T7" s="1"/>
      <c r="U7" s="1"/>
      <c r="V7" s="1"/>
      <c r="W7" s="1"/>
      <c r="X7" s="1"/>
      <c r="Y7" s="1"/>
      <c r="Z7" s="1"/>
      <c r="AA7" s="1"/>
      <c r="AB7" s="1"/>
      <c r="AC7" s="1"/>
      <c r="AD7" s="1"/>
      <c r="AE7" s="1"/>
    </row>
    <row r="8" spans="1:31" ht="1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spans="1:31" ht="15" customHeight="1">
      <c r="A9" s="1"/>
      <c r="B9" s="258"/>
      <c r="C9" s="1"/>
      <c r="D9" s="1"/>
      <c r="E9" s="1"/>
      <c r="F9" s="1"/>
      <c r="G9" s="1"/>
      <c r="H9" s="1"/>
      <c r="I9" s="1"/>
      <c r="J9" s="1"/>
      <c r="K9" s="1"/>
      <c r="L9" s="1"/>
      <c r="M9" s="1"/>
      <c r="N9" s="1"/>
      <c r="O9" s="1"/>
      <c r="P9" s="1"/>
      <c r="Q9" s="1"/>
      <c r="R9" s="1"/>
      <c r="S9" s="1"/>
      <c r="T9" s="1"/>
      <c r="U9" s="1"/>
      <c r="V9" s="1"/>
      <c r="W9" s="1"/>
      <c r="X9" s="1"/>
      <c r="Y9" s="1"/>
      <c r="Z9" s="1"/>
      <c r="AA9" s="1"/>
      <c r="AB9" s="1"/>
      <c r="AC9" s="1"/>
      <c r="AD9" s="1"/>
      <c r="AE9" s="1"/>
    </row>
    <row r="10" spans="1:31" ht="15" customHeight="1">
      <c r="A10" s="1"/>
      <c r="B10" s="259"/>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row>
    <row r="11" spans="1:31"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row>
    <row r="12" spans="1:31" ht="1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row>
    <row r="13" spans="1:31" ht="15" customHeight="1">
      <c r="A13" s="1"/>
      <c r="B13" s="469" t="s">
        <v>297</v>
      </c>
      <c r="M13" s="1"/>
      <c r="N13" s="1"/>
      <c r="O13" s="1"/>
      <c r="P13" s="1"/>
      <c r="Q13" s="1"/>
      <c r="R13" s="1"/>
      <c r="S13" s="1"/>
      <c r="T13" s="1"/>
      <c r="U13" s="1"/>
      <c r="V13" s="1"/>
      <c r="W13" s="1"/>
      <c r="X13" s="1"/>
      <c r="Y13" s="1"/>
      <c r="Z13" s="1"/>
      <c r="AA13" s="1"/>
      <c r="AB13" s="1"/>
      <c r="AC13" s="1"/>
      <c r="AD13" s="1"/>
      <c r="AE13" s="1"/>
    </row>
    <row r="14" spans="1:31" ht="31.95" customHeight="1">
      <c r="A14" s="1"/>
      <c r="B14" s="470" t="s">
        <v>298</v>
      </c>
      <c r="C14" s="470" t="s">
        <v>299</v>
      </c>
      <c r="D14" s="470" t="s">
        <v>300</v>
      </c>
      <c r="E14" s="470" t="s">
        <v>301</v>
      </c>
      <c r="F14" s="470" t="s">
        <v>302</v>
      </c>
      <c r="G14" s="470" t="s">
        <v>303</v>
      </c>
      <c r="H14" s="470" t="s">
        <v>304</v>
      </c>
      <c r="I14" s="470" t="s">
        <v>305</v>
      </c>
      <c r="J14" s="470" t="s">
        <v>306</v>
      </c>
      <c r="K14" s="470" t="s">
        <v>307</v>
      </c>
      <c r="L14" s="470" t="s">
        <v>308</v>
      </c>
      <c r="M14" s="1"/>
      <c r="N14" s="1"/>
      <c r="O14" s="1"/>
      <c r="P14" s="1"/>
      <c r="Q14" s="1"/>
      <c r="R14" s="1"/>
      <c r="S14" s="1"/>
      <c r="T14" s="1"/>
      <c r="U14" s="1"/>
      <c r="V14" s="1"/>
      <c r="W14" s="1"/>
      <c r="X14" s="1"/>
      <c r="Y14" s="1"/>
      <c r="Z14" s="1"/>
      <c r="AA14" s="1"/>
      <c r="AB14" s="1"/>
      <c r="AC14" s="1"/>
      <c r="AD14" s="1"/>
      <c r="AE14" s="1"/>
    </row>
    <row r="15" spans="1:31" ht="15" customHeight="1">
      <c r="A15" s="1"/>
      <c r="B15" s="484" t="s">
        <v>309</v>
      </c>
      <c r="C15" s="485"/>
      <c r="D15" s="485"/>
      <c r="E15" s="486">
        <v>0.1047</v>
      </c>
      <c r="F15" s="486">
        <v>1.54E-2</v>
      </c>
      <c r="G15" s="486">
        <v>0.06</v>
      </c>
      <c r="H15" s="486">
        <v>9.1999999999999998E-3</v>
      </c>
      <c r="I15" s="481">
        <v>1.2</v>
      </c>
      <c r="J15" s="486">
        <v>0.03</v>
      </c>
      <c r="K15" s="485"/>
      <c r="L15" s="485"/>
      <c r="M15" s="1"/>
      <c r="N15" s="1"/>
      <c r="O15" s="1"/>
      <c r="P15" s="1"/>
      <c r="Q15" s="1"/>
      <c r="R15" s="1"/>
      <c r="S15" s="1"/>
      <c r="T15" s="1"/>
      <c r="U15" s="1"/>
      <c r="V15" s="1"/>
      <c r="W15" s="1"/>
      <c r="X15" s="1"/>
      <c r="Y15" s="1"/>
      <c r="Z15" s="1"/>
      <c r="AA15" s="1"/>
      <c r="AB15" s="1"/>
      <c r="AC15" s="1"/>
      <c r="AD15" s="1"/>
      <c r="AE15" s="1"/>
    </row>
    <row r="16" spans="1:31" ht="15" customHeight="1">
      <c r="A16" s="1"/>
      <c r="B16" s="751" t="s">
        <v>310</v>
      </c>
      <c r="C16" s="474" t="s">
        <v>311</v>
      </c>
      <c r="D16" s="473">
        <v>2000</v>
      </c>
      <c r="E16" s="473">
        <f>$D16*$E$15</f>
        <v>209.4</v>
      </c>
      <c r="F16" s="473">
        <f>$D16*$F$15</f>
        <v>30.8</v>
      </c>
      <c r="G16" s="473">
        <f>$D16*$G$15</f>
        <v>120</v>
      </c>
      <c r="H16" s="473">
        <f>$D16*$H$15</f>
        <v>18.399999999999999</v>
      </c>
      <c r="I16" s="473">
        <f>$I$15</f>
        <v>1.2</v>
      </c>
      <c r="J16" s="473">
        <f>$D16*$J$15</f>
        <v>60</v>
      </c>
      <c r="K16" s="473">
        <f>SUM(E16:J16)</f>
        <v>439.8</v>
      </c>
      <c r="L16" s="475">
        <f>D16+K16</f>
        <v>2439.8000000000002</v>
      </c>
      <c r="M16" s="1"/>
      <c r="N16" s="1"/>
      <c r="O16" s="1"/>
      <c r="P16" s="1"/>
      <c r="Q16" s="1"/>
      <c r="R16" s="1"/>
      <c r="S16" s="1"/>
      <c r="T16" s="1"/>
      <c r="U16" s="1"/>
      <c r="V16" s="1"/>
      <c r="W16" s="1"/>
      <c r="X16" s="1"/>
      <c r="Y16" s="1"/>
      <c r="Z16" s="1"/>
      <c r="AA16" s="1"/>
      <c r="AB16" s="1"/>
      <c r="AC16" s="1"/>
      <c r="AD16" s="1"/>
      <c r="AE16" s="1"/>
    </row>
    <row r="17" spans="1:31" ht="15" customHeight="1">
      <c r="A17" s="11"/>
      <c r="B17" s="752"/>
      <c r="C17" s="474" t="s">
        <v>312</v>
      </c>
      <c r="D17" s="473">
        <v>2000</v>
      </c>
      <c r="E17" s="473">
        <f>$D17*$E$15</f>
        <v>209.4</v>
      </c>
      <c r="F17" s="473">
        <f>$D17*$F$15</f>
        <v>30.8</v>
      </c>
      <c r="G17" s="473">
        <f>$D17*$G$15</f>
        <v>120</v>
      </c>
      <c r="H17" s="473">
        <f>$D17*$H$15</f>
        <v>18.399999999999999</v>
      </c>
      <c r="I17" s="473">
        <f>$I$15</f>
        <v>1.2</v>
      </c>
      <c r="J17" s="473">
        <f>$D17*$J$15</f>
        <v>60</v>
      </c>
      <c r="K17" s="473">
        <f>SUM(E17:J17)</f>
        <v>439.8</v>
      </c>
      <c r="L17" s="475">
        <f>D17+K17</f>
        <v>2439.8000000000002</v>
      </c>
      <c r="M17" s="151"/>
      <c r="N17" s="1"/>
      <c r="O17" s="1"/>
      <c r="P17" s="1"/>
      <c r="Q17" s="1"/>
      <c r="R17" s="1"/>
      <c r="S17" s="1"/>
      <c r="T17" s="1"/>
      <c r="U17" s="1"/>
      <c r="V17" s="1"/>
      <c r="W17" s="1"/>
      <c r="X17" s="1"/>
      <c r="Y17" s="1"/>
      <c r="Z17" s="1"/>
      <c r="AA17" s="1"/>
      <c r="AB17" s="1"/>
      <c r="AC17" s="1"/>
      <c r="AD17" s="1"/>
      <c r="AE17" s="1"/>
    </row>
    <row r="18" spans="1:31" ht="15" customHeight="1">
      <c r="A18" s="11"/>
      <c r="B18" s="751" t="s">
        <v>313</v>
      </c>
      <c r="C18" s="474" t="s">
        <v>103</v>
      </c>
      <c r="D18" s="473">
        <v>1800</v>
      </c>
      <c r="E18" s="473">
        <f>$D18*$E$15</f>
        <v>188.46</v>
      </c>
      <c r="F18" s="473">
        <f>$D18*$F$15</f>
        <v>27.720000000000002</v>
      </c>
      <c r="G18" s="473">
        <f>$D18*$G$15</f>
        <v>108</v>
      </c>
      <c r="H18" s="473">
        <f>$D18*$H$15</f>
        <v>16.559999999999999</v>
      </c>
      <c r="I18" s="473">
        <f>$I$15</f>
        <v>1.2</v>
      </c>
      <c r="J18" s="473">
        <f>$D18*$J$15</f>
        <v>54</v>
      </c>
      <c r="K18" s="473">
        <f>SUM(E18:J18)</f>
        <v>395.94</v>
      </c>
      <c r="L18" s="475">
        <f>D18+K18</f>
        <v>2195.94</v>
      </c>
      <c r="M18" s="151"/>
      <c r="N18" s="1"/>
      <c r="O18" s="1"/>
      <c r="P18" s="1"/>
      <c r="Q18" s="1"/>
      <c r="R18" s="1"/>
      <c r="S18" s="1"/>
      <c r="T18" s="1"/>
      <c r="U18" s="1"/>
      <c r="V18" s="1"/>
      <c r="W18" s="1"/>
      <c r="X18" s="1"/>
      <c r="Y18" s="1"/>
      <c r="Z18" s="1"/>
      <c r="AA18" s="1"/>
      <c r="AB18" s="1"/>
      <c r="AC18" s="1"/>
      <c r="AD18" s="1"/>
      <c r="AE18" s="1"/>
    </row>
    <row r="19" spans="1:31" ht="15" customHeight="1">
      <c r="A19" s="11"/>
      <c r="B19" s="752"/>
      <c r="C19" s="474" t="s">
        <v>104</v>
      </c>
      <c r="D19" s="473">
        <v>1100</v>
      </c>
      <c r="E19" s="473">
        <f>$D19*$E$15</f>
        <v>115.17</v>
      </c>
      <c r="F19" s="473">
        <f>$D19*$F$15</f>
        <v>16.940000000000001</v>
      </c>
      <c r="G19" s="473">
        <f>$D19*$G$15</f>
        <v>66</v>
      </c>
      <c r="H19" s="473">
        <f>$D19*$H$15</f>
        <v>10.119999999999999</v>
      </c>
      <c r="I19" s="473">
        <f>$I$15</f>
        <v>1.2</v>
      </c>
      <c r="J19" s="473">
        <f>$D19*$J$15</f>
        <v>33</v>
      </c>
      <c r="K19" s="473">
        <f>SUM(E19:J19)</f>
        <v>242.43</v>
      </c>
      <c r="L19" s="475">
        <f>D19+K19</f>
        <v>1342.43</v>
      </c>
      <c r="M19" s="151"/>
      <c r="N19" s="1"/>
      <c r="O19" s="1"/>
      <c r="P19" s="1"/>
      <c r="Q19" s="1"/>
      <c r="R19" s="1"/>
      <c r="S19" s="1"/>
      <c r="T19" s="1"/>
      <c r="U19" s="1"/>
      <c r="V19" s="1"/>
      <c r="W19" s="1"/>
      <c r="X19" s="1"/>
      <c r="Y19" s="1"/>
      <c r="Z19" s="1"/>
      <c r="AA19" s="1"/>
      <c r="AB19" s="1"/>
      <c r="AC19" s="1"/>
      <c r="AD19" s="1"/>
      <c r="AE19" s="1"/>
    </row>
    <row r="20" spans="1:31" ht="15" customHeight="1">
      <c r="A20" s="11"/>
      <c r="B20" s="474" t="s">
        <v>314</v>
      </c>
      <c r="C20" s="474" t="s">
        <v>105</v>
      </c>
      <c r="D20" s="473">
        <v>1000</v>
      </c>
      <c r="E20" s="473">
        <f>$D20*$E$15</f>
        <v>104.7</v>
      </c>
      <c r="F20" s="473">
        <f>$D20*$F$15</f>
        <v>15.4</v>
      </c>
      <c r="G20" s="473">
        <f>$D20*$G$15</f>
        <v>60</v>
      </c>
      <c r="H20" s="473">
        <f>$D20*$H$15</f>
        <v>9.1999999999999993</v>
      </c>
      <c r="I20" s="473">
        <f>$I$15</f>
        <v>1.2</v>
      </c>
      <c r="J20" s="473">
        <f>$D20*$J$15</f>
        <v>30</v>
      </c>
      <c r="K20" s="473">
        <f>SUM(E20:J20)</f>
        <v>220.5</v>
      </c>
      <c r="L20" s="475">
        <f>D20+K20</f>
        <v>1220.5</v>
      </c>
      <c r="M20" s="151"/>
      <c r="N20" s="1"/>
      <c r="O20" s="1"/>
      <c r="P20" s="1"/>
      <c r="Q20" s="1"/>
      <c r="R20" s="1"/>
      <c r="S20" s="1"/>
      <c r="T20" s="1"/>
      <c r="U20" s="1"/>
      <c r="V20" s="1"/>
      <c r="W20" s="1"/>
      <c r="X20" s="1"/>
      <c r="Y20" s="1"/>
      <c r="Z20" s="1"/>
      <c r="AA20" s="1"/>
      <c r="AB20" s="1"/>
      <c r="AC20" s="1"/>
      <c r="AD20" s="1"/>
      <c r="AE20" s="1"/>
    </row>
    <row r="21" spans="1:31" ht="15" customHeight="1">
      <c r="A21" s="11"/>
      <c r="C21" s="259"/>
      <c r="D21" s="264"/>
      <c r="E21" s="265"/>
      <c r="F21" s="265"/>
      <c r="G21" s="265"/>
      <c r="H21" s="265"/>
      <c r="I21" s="265"/>
      <c r="J21" s="265"/>
      <c r="K21" s="265"/>
      <c r="L21" s="266"/>
      <c r="M21" s="151"/>
      <c r="N21" s="1"/>
      <c r="O21" s="1"/>
      <c r="P21" s="1"/>
      <c r="Q21" s="1"/>
      <c r="R21" s="1"/>
      <c r="S21" s="1"/>
      <c r="T21" s="1"/>
      <c r="U21" s="1"/>
      <c r="V21" s="1"/>
      <c r="W21" s="1"/>
      <c r="X21" s="1"/>
      <c r="Y21" s="1"/>
      <c r="Z21" s="1"/>
      <c r="AA21" s="1"/>
      <c r="AB21" s="1"/>
      <c r="AC21" s="1"/>
      <c r="AD21" s="1"/>
      <c r="AE21" s="1"/>
    </row>
    <row r="22" spans="1:31" ht="15" customHeight="1">
      <c r="A22" s="11"/>
      <c r="C22" s="258"/>
      <c r="D22" s="264"/>
      <c r="E22" s="265"/>
      <c r="F22" s="265"/>
      <c r="G22" s="265"/>
      <c r="H22" s="265"/>
      <c r="I22" s="265"/>
      <c r="J22" s="265"/>
      <c r="K22" s="265"/>
      <c r="L22" s="266"/>
      <c r="M22" s="151"/>
      <c r="N22" s="1"/>
      <c r="O22" s="1"/>
      <c r="P22" s="1"/>
      <c r="Q22" s="1"/>
      <c r="R22" s="1"/>
      <c r="S22" s="1"/>
      <c r="T22" s="1"/>
      <c r="U22" s="1"/>
      <c r="V22" s="1"/>
      <c r="W22" s="1"/>
      <c r="X22" s="1"/>
      <c r="Y22" s="1"/>
      <c r="Z22" s="1"/>
      <c r="AA22" s="1"/>
      <c r="AB22" s="1"/>
      <c r="AC22" s="1"/>
      <c r="AD22" s="1"/>
      <c r="AE22" s="1"/>
    </row>
    <row r="23" spans="1:31" ht="15" customHeight="1">
      <c r="A23" s="11"/>
      <c r="C23" s="259"/>
      <c r="D23" s="264"/>
      <c r="E23" s="265"/>
      <c r="F23" s="265"/>
      <c r="G23" s="265"/>
      <c r="H23" s="265"/>
      <c r="I23" s="265"/>
      <c r="J23" s="265"/>
      <c r="K23" s="265"/>
      <c r="L23" s="266"/>
      <c r="M23" s="151"/>
      <c r="N23" s="1"/>
      <c r="O23" s="1"/>
      <c r="P23" s="1"/>
      <c r="Q23" s="1"/>
      <c r="R23" s="1"/>
      <c r="S23" s="1"/>
      <c r="T23" s="1"/>
      <c r="U23" s="1"/>
      <c r="V23" s="1"/>
      <c r="W23" s="1"/>
      <c r="X23" s="1"/>
      <c r="Y23" s="1"/>
      <c r="Z23" s="1"/>
      <c r="AA23" s="1"/>
      <c r="AB23" s="1"/>
      <c r="AC23" s="1"/>
      <c r="AD23" s="1"/>
      <c r="AE23" s="1"/>
    </row>
    <row r="24" spans="1:31" ht="15" customHeight="1">
      <c r="A24" s="11"/>
      <c r="B24" s="469" t="s">
        <v>315</v>
      </c>
      <c r="C24" s="258"/>
      <c r="D24" s="264"/>
      <c r="E24" s="265"/>
      <c r="F24" s="265"/>
      <c r="G24" s="265"/>
      <c r="H24" s="265"/>
      <c r="I24" s="265"/>
      <c r="J24" s="265"/>
      <c r="K24" s="265"/>
      <c r="L24" s="266"/>
      <c r="M24" s="151"/>
      <c r="N24" s="1"/>
      <c r="O24" s="1"/>
      <c r="P24" s="1"/>
      <c r="Q24" s="1"/>
      <c r="R24" s="1"/>
      <c r="S24" s="1"/>
      <c r="T24" s="1"/>
      <c r="U24" s="1"/>
      <c r="V24" s="1"/>
      <c r="W24" s="1"/>
      <c r="X24" s="1"/>
      <c r="Y24" s="1"/>
      <c r="Z24" s="1"/>
      <c r="AA24" s="1"/>
      <c r="AB24" s="1"/>
      <c r="AC24" s="1"/>
      <c r="AD24" s="1"/>
      <c r="AE24" s="1"/>
    </row>
    <row r="25" spans="1:31" ht="15" customHeight="1">
      <c r="A25" s="11"/>
      <c r="B25" s="470" t="s">
        <v>299</v>
      </c>
      <c r="C25" s="470" t="s">
        <v>79</v>
      </c>
      <c r="D25" s="487" t="s">
        <v>80</v>
      </c>
      <c r="E25" s="487" t="s">
        <v>81</v>
      </c>
      <c r="F25" s="487" t="s">
        <v>82</v>
      </c>
      <c r="G25" s="487" t="s">
        <v>83</v>
      </c>
      <c r="H25" s="487" t="s">
        <v>84</v>
      </c>
      <c r="I25" s="487" t="s">
        <v>85</v>
      </c>
      <c r="J25" s="487" t="s">
        <v>86</v>
      </c>
      <c r="K25" s="487" t="s">
        <v>87</v>
      </c>
      <c r="L25" s="487" t="s">
        <v>88</v>
      </c>
      <c r="M25" s="470" t="s">
        <v>89</v>
      </c>
      <c r="N25" s="470" t="s">
        <v>90</v>
      </c>
      <c r="O25" s="470" t="s">
        <v>316</v>
      </c>
      <c r="P25" s="1"/>
      <c r="Q25" s="1"/>
      <c r="R25" s="1"/>
      <c r="S25" s="1"/>
      <c r="T25" s="1"/>
      <c r="U25" s="1"/>
      <c r="V25" s="1"/>
      <c r="W25" s="1"/>
      <c r="X25" s="1"/>
      <c r="Y25" s="1"/>
      <c r="Z25" s="1"/>
      <c r="AA25" s="1"/>
      <c r="AB25" s="1"/>
      <c r="AC25" s="1"/>
      <c r="AD25" s="1"/>
      <c r="AE25" s="1"/>
    </row>
    <row r="26" spans="1:31" ht="15" customHeight="1">
      <c r="A26" s="11"/>
      <c r="B26" s="474" t="s">
        <v>311</v>
      </c>
      <c r="C26" s="482">
        <v>1</v>
      </c>
      <c r="D26" s="482">
        <v>1</v>
      </c>
      <c r="E26" s="482">
        <v>1</v>
      </c>
      <c r="F26" s="482">
        <v>1</v>
      </c>
      <c r="G26" s="482">
        <v>1</v>
      </c>
      <c r="H26" s="482">
        <v>1</v>
      </c>
      <c r="I26" s="482">
        <v>1</v>
      </c>
      <c r="J26" s="482">
        <v>1</v>
      </c>
      <c r="K26" s="482">
        <v>1</v>
      </c>
      <c r="L26" s="482">
        <v>1</v>
      </c>
      <c r="M26" s="482">
        <v>1</v>
      </c>
      <c r="N26" s="482">
        <v>1</v>
      </c>
      <c r="O26" s="488">
        <f t="shared" ref="O26:O31" si="0">N26</f>
        <v>1</v>
      </c>
      <c r="P26" s="1"/>
      <c r="Q26" s="1"/>
      <c r="R26" s="1"/>
      <c r="S26" s="1"/>
      <c r="T26" s="1"/>
      <c r="U26" s="1"/>
      <c r="V26" s="1"/>
      <c r="W26" s="1"/>
      <c r="X26" s="1"/>
      <c r="Y26" s="1"/>
      <c r="Z26" s="1"/>
      <c r="AA26" s="1"/>
      <c r="AB26" s="1"/>
      <c r="AC26" s="1"/>
      <c r="AD26" s="1"/>
      <c r="AE26" s="1"/>
    </row>
    <row r="27" spans="1:31" ht="15" customHeight="1">
      <c r="A27" s="11"/>
      <c r="B27" s="474" t="s">
        <v>312</v>
      </c>
      <c r="C27" s="482">
        <v>1</v>
      </c>
      <c r="D27" s="482">
        <v>1</v>
      </c>
      <c r="E27" s="482">
        <v>1</v>
      </c>
      <c r="F27" s="482">
        <v>1</v>
      </c>
      <c r="G27" s="482">
        <v>1</v>
      </c>
      <c r="H27" s="482">
        <v>1</v>
      </c>
      <c r="I27" s="482">
        <v>1</v>
      </c>
      <c r="J27" s="482">
        <v>1</v>
      </c>
      <c r="K27" s="482">
        <v>1</v>
      </c>
      <c r="L27" s="482">
        <v>1</v>
      </c>
      <c r="M27" s="482">
        <v>1</v>
      </c>
      <c r="N27" s="482">
        <v>1</v>
      </c>
      <c r="O27" s="488">
        <f t="shared" si="0"/>
        <v>1</v>
      </c>
      <c r="P27" s="1"/>
      <c r="Q27" s="1"/>
      <c r="R27" s="1"/>
      <c r="S27" s="1"/>
      <c r="T27" s="1"/>
      <c r="U27" s="1"/>
      <c r="V27" s="1"/>
      <c r="W27" s="1"/>
      <c r="X27" s="1"/>
      <c r="Y27" s="1"/>
      <c r="Z27" s="1"/>
      <c r="AA27" s="1"/>
      <c r="AB27" s="1"/>
      <c r="AC27" s="1"/>
      <c r="AD27" s="1"/>
      <c r="AE27" s="1"/>
    </row>
    <row r="28" spans="1:31" ht="15" customHeight="1">
      <c r="A28" s="11"/>
      <c r="B28" s="474" t="s">
        <v>103</v>
      </c>
      <c r="C28" s="482">
        <v>1</v>
      </c>
      <c r="D28" s="482">
        <v>1</v>
      </c>
      <c r="E28" s="482">
        <v>1</v>
      </c>
      <c r="F28" s="482">
        <v>1</v>
      </c>
      <c r="G28" s="482">
        <v>1</v>
      </c>
      <c r="H28" s="482">
        <v>1</v>
      </c>
      <c r="I28" s="482">
        <v>1</v>
      </c>
      <c r="J28" s="482">
        <v>1</v>
      </c>
      <c r="K28" s="482">
        <v>1</v>
      </c>
      <c r="L28" s="482">
        <v>1</v>
      </c>
      <c r="M28" s="482">
        <v>1</v>
      </c>
      <c r="N28" s="482">
        <v>1</v>
      </c>
      <c r="O28" s="488">
        <f t="shared" si="0"/>
        <v>1</v>
      </c>
      <c r="P28" s="1"/>
      <c r="Q28" s="1"/>
      <c r="R28" s="1"/>
      <c r="S28" s="1"/>
      <c r="T28" s="1"/>
      <c r="U28" s="1"/>
      <c r="V28" s="1"/>
      <c r="W28" s="1"/>
      <c r="X28" s="1"/>
      <c r="Y28" s="1"/>
      <c r="Z28" s="1"/>
      <c r="AA28" s="1"/>
      <c r="AB28" s="1"/>
      <c r="AC28" s="1"/>
      <c r="AD28" s="1"/>
      <c r="AE28" s="1"/>
    </row>
    <row r="29" spans="1:31" ht="14.4" customHeight="1">
      <c r="A29" s="11"/>
      <c r="B29" s="474" t="s">
        <v>104</v>
      </c>
      <c r="C29" s="482">
        <v>1</v>
      </c>
      <c r="D29" s="482">
        <v>1</v>
      </c>
      <c r="E29" s="482">
        <v>1</v>
      </c>
      <c r="F29" s="482">
        <v>1</v>
      </c>
      <c r="G29" s="482">
        <v>1</v>
      </c>
      <c r="H29" s="482">
        <v>1</v>
      </c>
      <c r="I29" s="482">
        <v>1</v>
      </c>
      <c r="J29" s="482">
        <v>1</v>
      </c>
      <c r="K29" s="482">
        <v>1</v>
      </c>
      <c r="L29" s="482">
        <v>1</v>
      </c>
      <c r="M29" s="482">
        <v>1</v>
      </c>
      <c r="N29" s="482">
        <v>1</v>
      </c>
      <c r="O29" s="488">
        <f t="shared" si="0"/>
        <v>1</v>
      </c>
      <c r="P29" s="1"/>
      <c r="Q29" s="1"/>
      <c r="R29" s="1"/>
      <c r="S29" s="1"/>
      <c r="T29" s="1"/>
      <c r="U29" s="1"/>
      <c r="V29" s="1"/>
      <c r="W29" s="1"/>
      <c r="X29" s="1"/>
      <c r="Y29" s="1"/>
      <c r="Z29" s="1"/>
      <c r="AA29" s="1"/>
      <c r="AB29" s="1"/>
      <c r="AC29" s="1"/>
      <c r="AD29" s="1"/>
      <c r="AE29" s="1"/>
    </row>
    <row r="30" spans="1:31" ht="14.4" customHeight="1">
      <c r="A30" s="11"/>
      <c r="B30" s="474" t="s">
        <v>105</v>
      </c>
      <c r="C30" s="482">
        <v>1</v>
      </c>
      <c r="D30" s="482">
        <v>1</v>
      </c>
      <c r="E30" s="482">
        <v>1</v>
      </c>
      <c r="F30" s="482">
        <v>1</v>
      </c>
      <c r="G30" s="482">
        <v>1</v>
      </c>
      <c r="H30" s="482">
        <v>1</v>
      </c>
      <c r="I30" s="482">
        <v>2</v>
      </c>
      <c r="J30" s="482">
        <v>2</v>
      </c>
      <c r="K30" s="482">
        <v>2</v>
      </c>
      <c r="L30" s="482">
        <v>2</v>
      </c>
      <c r="M30" s="482">
        <v>2</v>
      </c>
      <c r="N30" s="482">
        <v>2</v>
      </c>
      <c r="O30" s="488">
        <f t="shared" si="0"/>
        <v>2</v>
      </c>
      <c r="P30" s="1"/>
      <c r="Q30" s="1"/>
      <c r="R30" s="1"/>
      <c r="S30" s="1"/>
      <c r="T30" s="1"/>
      <c r="U30" s="1"/>
      <c r="V30" s="1"/>
      <c r="W30" s="1"/>
      <c r="X30" s="1"/>
      <c r="Y30" s="1"/>
      <c r="Z30" s="1"/>
      <c r="AA30" s="1"/>
      <c r="AB30" s="1"/>
      <c r="AC30" s="1"/>
      <c r="AD30" s="1"/>
      <c r="AE30" s="1"/>
    </row>
    <row r="31" spans="1:31" ht="14.4" customHeight="1">
      <c r="A31" s="11"/>
      <c r="B31" s="477" t="s">
        <v>317</v>
      </c>
      <c r="C31" s="489">
        <f t="shared" ref="C31:N31" si="1">SUM(C26:C30)</f>
        <v>5</v>
      </c>
      <c r="D31" s="489">
        <f t="shared" si="1"/>
        <v>5</v>
      </c>
      <c r="E31" s="489">
        <f t="shared" si="1"/>
        <v>5</v>
      </c>
      <c r="F31" s="489">
        <f t="shared" si="1"/>
        <v>5</v>
      </c>
      <c r="G31" s="489">
        <f t="shared" si="1"/>
        <v>5</v>
      </c>
      <c r="H31" s="489">
        <f t="shared" si="1"/>
        <v>5</v>
      </c>
      <c r="I31" s="489">
        <f t="shared" si="1"/>
        <v>6</v>
      </c>
      <c r="J31" s="489">
        <f t="shared" si="1"/>
        <v>6</v>
      </c>
      <c r="K31" s="489">
        <f t="shared" si="1"/>
        <v>6</v>
      </c>
      <c r="L31" s="489">
        <f t="shared" si="1"/>
        <v>6</v>
      </c>
      <c r="M31" s="489">
        <f t="shared" si="1"/>
        <v>6</v>
      </c>
      <c r="N31" s="489">
        <f t="shared" si="1"/>
        <v>6</v>
      </c>
      <c r="O31" s="489">
        <f t="shared" si="0"/>
        <v>6</v>
      </c>
      <c r="P31" s="1"/>
      <c r="Q31" s="1"/>
      <c r="R31" s="1"/>
      <c r="S31" s="1"/>
      <c r="T31" s="1"/>
      <c r="U31" s="1"/>
      <c r="V31" s="1"/>
      <c r="W31" s="1"/>
      <c r="X31" s="1"/>
      <c r="Y31" s="1"/>
      <c r="Z31" s="1"/>
      <c r="AA31" s="1"/>
      <c r="AB31" s="1"/>
      <c r="AC31" s="1"/>
      <c r="AD31" s="1"/>
      <c r="AE31" s="1"/>
    </row>
    <row r="32" spans="1:31" ht="14.4" customHeight="1">
      <c r="A32" s="11"/>
      <c r="B32" s="469" t="s">
        <v>318</v>
      </c>
      <c r="C32" s="260"/>
      <c r="D32" s="267"/>
      <c r="E32" s="262"/>
      <c r="F32" s="262"/>
      <c r="G32" s="262"/>
      <c r="H32" s="262"/>
      <c r="I32" s="262"/>
      <c r="J32" s="262"/>
      <c r="K32" s="262"/>
      <c r="L32" s="263"/>
      <c r="M32" s="151"/>
      <c r="N32" s="1"/>
      <c r="O32" s="1"/>
      <c r="P32" s="1"/>
      <c r="Q32" s="1"/>
      <c r="R32" s="1"/>
      <c r="S32" s="1"/>
      <c r="T32" s="1"/>
      <c r="U32" s="1"/>
      <c r="V32" s="1"/>
      <c r="W32" s="1"/>
      <c r="X32" s="1"/>
      <c r="Y32" s="1"/>
      <c r="Z32" s="1"/>
      <c r="AA32" s="1"/>
      <c r="AB32" s="1"/>
      <c r="AC32" s="1"/>
      <c r="AD32" s="1"/>
      <c r="AE32" s="1"/>
    </row>
    <row r="33" spans="1:31" ht="14.4" customHeight="1">
      <c r="A33" s="11"/>
      <c r="B33" s="470" t="s">
        <v>299</v>
      </c>
      <c r="C33" s="470" t="s">
        <v>79</v>
      </c>
      <c r="D33" s="487" t="s">
        <v>80</v>
      </c>
      <c r="E33" s="487" t="s">
        <v>81</v>
      </c>
      <c r="F33" s="487" t="s">
        <v>82</v>
      </c>
      <c r="G33" s="487" t="s">
        <v>83</v>
      </c>
      <c r="H33" s="487" t="s">
        <v>84</v>
      </c>
      <c r="I33" s="487" t="s">
        <v>85</v>
      </c>
      <c r="J33" s="487" t="s">
        <v>86</v>
      </c>
      <c r="K33" s="487" t="s">
        <v>87</v>
      </c>
      <c r="L33" s="487" t="s">
        <v>88</v>
      </c>
      <c r="M33" s="470" t="s">
        <v>89</v>
      </c>
      <c r="N33" s="470" t="s">
        <v>90</v>
      </c>
      <c r="O33" s="470" t="s">
        <v>248</v>
      </c>
      <c r="P33" s="1"/>
      <c r="Q33" s="1"/>
      <c r="R33" s="1"/>
      <c r="S33" s="1"/>
      <c r="T33" s="1"/>
      <c r="U33" s="1"/>
      <c r="V33" s="1"/>
      <c r="W33" s="1"/>
      <c r="X33" s="1"/>
      <c r="Y33" s="1"/>
      <c r="Z33" s="1"/>
      <c r="AA33" s="1"/>
      <c r="AB33" s="1"/>
      <c r="AC33" s="1"/>
      <c r="AD33" s="1"/>
      <c r="AE33" s="1"/>
    </row>
    <row r="34" spans="1:31" ht="14.4" customHeight="1">
      <c r="A34" s="11"/>
      <c r="B34" s="474" t="s">
        <v>311</v>
      </c>
      <c r="C34" s="473">
        <f t="shared" ref="C34:N34" si="2">C26*$L$16</f>
        <v>2439.8000000000002</v>
      </c>
      <c r="D34" s="473">
        <f t="shared" si="2"/>
        <v>2439.8000000000002</v>
      </c>
      <c r="E34" s="473">
        <f t="shared" si="2"/>
        <v>2439.8000000000002</v>
      </c>
      <c r="F34" s="473">
        <f t="shared" si="2"/>
        <v>2439.8000000000002</v>
      </c>
      <c r="G34" s="473">
        <f t="shared" si="2"/>
        <v>2439.8000000000002</v>
      </c>
      <c r="H34" s="473">
        <f t="shared" si="2"/>
        <v>2439.8000000000002</v>
      </c>
      <c r="I34" s="473">
        <f t="shared" si="2"/>
        <v>2439.8000000000002</v>
      </c>
      <c r="J34" s="473">
        <f t="shared" si="2"/>
        <v>2439.8000000000002</v>
      </c>
      <c r="K34" s="473">
        <f t="shared" si="2"/>
        <v>2439.8000000000002</v>
      </c>
      <c r="L34" s="473">
        <f t="shared" si="2"/>
        <v>2439.8000000000002</v>
      </c>
      <c r="M34" s="473">
        <f t="shared" si="2"/>
        <v>2439.8000000000002</v>
      </c>
      <c r="N34" s="473">
        <f t="shared" si="2"/>
        <v>2439.8000000000002</v>
      </c>
      <c r="O34" s="475">
        <f t="shared" ref="O34:O39" si="3">SUM(C34:N34)</f>
        <v>29277.599999999995</v>
      </c>
      <c r="P34" s="1"/>
      <c r="Q34" s="1"/>
      <c r="R34" s="1"/>
      <c r="S34" s="1"/>
      <c r="T34" s="1"/>
      <c r="U34" s="1"/>
      <c r="V34" s="1"/>
      <c r="W34" s="1"/>
      <c r="X34" s="1"/>
      <c r="Y34" s="1"/>
      <c r="Z34" s="1"/>
      <c r="AA34" s="1"/>
      <c r="AB34" s="1"/>
      <c r="AC34" s="1"/>
      <c r="AD34" s="1"/>
      <c r="AE34" s="1"/>
    </row>
    <row r="35" spans="1:31" ht="14.4" customHeight="1">
      <c r="A35" s="11"/>
      <c r="B35" s="474" t="s">
        <v>312</v>
      </c>
      <c r="C35" s="473">
        <f t="shared" ref="C35:N35" si="4">C27*$L$17</f>
        <v>2439.8000000000002</v>
      </c>
      <c r="D35" s="473">
        <f t="shared" si="4"/>
        <v>2439.8000000000002</v>
      </c>
      <c r="E35" s="473">
        <f t="shared" si="4"/>
        <v>2439.8000000000002</v>
      </c>
      <c r="F35" s="473">
        <f t="shared" si="4"/>
        <v>2439.8000000000002</v>
      </c>
      <c r="G35" s="473">
        <f t="shared" si="4"/>
        <v>2439.8000000000002</v>
      </c>
      <c r="H35" s="473">
        <f t="shared" si="4"/>
        <v>2439.8000000000002</v>
      </c>
      <c r="I35" s="473">
        <f t="shared" si="4"/>
        <v>2439.8000000000002</v>
      </c>
      <c r="J35" s="473">
        <f t="shared" si="4"/>
        <v>2439.8000000000002</v>
      </c>
      <c r="K35" s="473">
        <f t="shared" si="4"/>
        <v>2439.8000000000002</v>
      </c>
      <c r="L35" s="473">
        <f t="shared" si="4"/>
        <v>2439.8000000000002</v>
      </c>
      <c r="M35" s="473">
        <f t="shared" si="4"/>
        <v>2439.8000000000002</v>
      </c>
      <c r="N35" s="473">
        <f t="shared" si="4"/>
        <v>2439.8000000000002</v>
      </c>
      <c r="O35" s="475">
        <f t="shared" si="3"/>
        <v>29277.599999999995</v>
      </c>
      <c r="P35" s="1"/>
      <c r="Q35" s="1"/>
      <c r="R35" s="1"/>
      <c r="S35" s="1"/>
      <c r="T35" s="1"/>
      <c r="U35" s="1"/>
      <c r="V35" s="1"/>
      <c r="W35" s="1"/>
      <c r="X35" s="1"/>
      <c r="Y35" s="1"/>
      <c r="Z35" s="1"/>
      <c r="AA35" s="1"/>
      <c r="AB35" s="1"/>
      <c r="AC35" s="1"/>
      <c r="AD35" s="1"/>
      <c r="AE35" s="1"/>
    </row>
    <row r="36" spans="1:31" ht="14.4" customHeight="1">
      <c r="A36" s="11"/>
      <c r="B36" s="474" t="s">
        <v>103</v>
      </c>
      <c r="C36" s="473">
        <f t="shared" ref="C36:N36" si="5">C28*$L$18</f>
        <v>2195.94</v>
      </c>
      <c r="D36" s="473">
        <f t="shared" si="5"/>
        <v>2195.94</v>
      </c>
      <c r="E36" s="473">
        <f t="shared" si="5"/>
        <v>2195.94</v>
      </c>
      <c r="F36" s="473">
        <f t="shared" si="5"/>
        <v>2195.94</v>
      </c>
      <c r="G36" s="473">
        <f t="shared" si="5"/>
        <v>2195.94</v>
      </c>
      <c r="H36" s="473">
        <f t="shared" si="5"/>
        <v>2195.94</v>
      </c>
      <c r="I36" s="473">
        <f t="shared" si="5"/>
        <v>2195.94</v>
      </c>
      <c r="J36" s="473">
        <f t="shared" si="5"/>
        <v>2195.94</v>
      </c>
      <c r="K36" s="473">
        <f t="shared" si="5"/>
        <v>2195.94</v>
      </c>
      <c r="L36" s="473">
        <f t="shared" si="5"/>
        <v>2195.94</v>
      </c>
      <c r="M36" s="473">
        <f t="shared" si="5"/>
        <v>2195.94</v>
      </c>
      <c r="N36" s="473">
        <f t="shared" si="5"/>
        <v>2195.94</v>
      </c>
      <c r="O36" s="475">
        <f t="shared" si="3"/>
        <v>26351.279999999995</v>
      </c>
      <c r="P36" s="1"/>
      <c r="Q36" s="1"/>
      <c r="R36" s="1"/>
      <c r="S36" s="1"/>
      <c r="T36" s="1"/>
      <c r="U36" s="1"/>
      <c r="V36" s="1"/>
      <c r="W36" s="1"/>
      <c r="X36" s="1"/>
      <c r="Y36" s="1"/>
      <c r="Z36" s="1"/>
      <c r="AA36" s="1"/>
      <c r="AB36" s="1"/>
      <c r="AC36" s="1"/>
      <c r="AD36" s="1"/>
      <c r="AE36" s="1"/>
    </row>
    <row r="37" spans="1:31" ht="14.4" customHeight="1">
      <c r="A37" s="11"/>
      <c r="B37" s="474" t="s">
        <v>104</v>
      </c>
      <c r="C37" s="473">
        <f t="shared" ref="C37:N37" si="6">C29*$L$19</f>
        <v>1342.43</v>
      </c>
      <c r="D37" s="473">
        <f t="shared" si="6"/>
        <v>1342.43</v>
      </c>
      <c r="E37" s="473">
        <f t="shared" si="6"/>
        <v>1342.43</v>
      </c>
      <c r="F37" s="473">
        <f t="shared" si="6"/>
        <v>1342.43</v>
      </c>
      <c r="G37" s="473">
        <f t="shared" si="6"/>
        <v>1342.43</v>
      </c>
      <c r="H37" s="473">
        <f t="shared" si="6"/>
        <v>1342.43</v>
      </c>
      <c r="I37" s="473">
        <f t="shared" si="6"/>
        <v>1342.43</v>
      </c>
      <c r="J37" s="473">
        <f t="shared" si="6"/>
        <v>1342.43</v>
      </c>
      <c r="K37" s="473">
        <f t="shared" si="6"/>
        <v>1342.43</v>
      </c>
      <c r="L37" s="473">
        <f t="shared" si="6"/>
        <v>1342.43</v>
      </c>
      <c r="M37" s="473">
        <f t="shared" si="6"/>
        <v>1342.43</v>
      </c>
      <c r="N37" s="473">
        <f t="shared" si="6"/>
        <v>1342.43</v>
      </c>
      <c r="O37" s="475">
        <f t="shared" si="3"/>
        <v>16109.160000000002</v>
      </c>
      <c r="P37" s="1"/>
      <c r="Q37" s="1"/>
      <c r="R37" s="1"/>
      <c r="S37" s="1"/>
      <c r="T37" s="1"/>
      <c r="U37" s="1"/>
      <c r="V37" s="1"/>
      <c r="W37" s="1"/>
      <c r="X37" s="1"/>
      <c r="Y37" s="1"/>
      <c r="Z37" s="1"/>
      <c r="AA37" s="1"/>
      <c r="AB37" s="1"/>
      <c r="AC37" s="1"/>
      <c r="AD37" s="1"/>
      <c r="AE37" s="1"/>
    </row>
    <row r="38" spans="1:31" ht="14.4" customHeight="1">
      <c r="A38" s="11"/>
      <c r="B38" s="474" t="s">
        <v>105</v>
      </c>
      <c r="C38" s="473">
        <f t="shared" ref="C38:N38" si="7">C30*$L$20</f>
        <v>1220.5</v>
      </c>
      <c r="D38" s="473">
        <f t="shared" si="7"/>
        <v>1220.5</v>
      </c>
      <c r="E38" s="473">
        <f t="shared" si="7"/>
        <v>1220.5</v>
      </c>
      <c r="F38" s="473">
        <f t="shared" si="7"/>
        <v>1220.5</v>
      </c>
      <c r="G38" s="473">
        <f t="shared" si="7"/>
        <v>1220.5</v>
      </c>
      <c r="H38" s="473">
        <f t="shared" si="7"/>
        <v>1220.5</v>
      </c>
      <c r="I38" s="473">
        <f t="shared" si="7"/>
        <v>2441</v>
      </c>
      <c r="J38" s="473">
        <f t="shared" si="7"/>
        <v>2441</v>
      </c>
      <c r="K38" s="473">
        <f t="shared" si="7"/>
        <v>2441</v>
      </c>
      <c r="L38" s="473">
        <f t="shared" si="7"/>
        <v>2441</v>
      </c>
      <c r="M38" s="473">
        <f t="shared" si="7"/>
        <v>2441</v>
      </c>
      <c r="N38" s="473">
        <f t="shared" si="7"/>
        <v>2441</v>
      </c>
      <c r="O38" s="475">
        <f t="shared" si="3"/>
        <v>21969</v>
      </c>
      <c r="P38" s="1"/>
      <c r="Q38" s="1"/>
      <c r="R38" s="1"/>
      <c r="S38" s="1"/>
      <c r="T38" s="1"/>
      <c r="U38" s="1"/>
      <c r="V38" s="1"/>
      <c r="W38" s="1"/>
      <c r="X38" s="1"/>
      <c r="Y38" s="1"/>
      <c r="Z38" s="1"/>
      <c r="AA38" s="1"/>
      <c r="AB38" s="1"/>
      <c r="AC38" s="1"/>
      <c r="AD38" s="1"/>
      <c r="AE38" s="1"/>
    </row>
    <row r="39" spans="1:31" ht="14.4" customHeight="1">
      <c r="A39" s="11"/>
      <c r="B39" s="477" t="s">
        <v>273</v>
      </c>
      <c r="C39" s="479">
        <f t="shared" ref="C39:N39" si="8">SUM(C34:C38)</f>
        <v>9638.4700000000012</v>
      </c>
      <c r="D39" s="479">
        <f t="shared" si="8"/>
        <v>9638.4700000000012</v>
      </c>
      <c r="E39" s="479">
        <f t="shared" si="8"/>
        <v>9638.4700000000012</v>
      </c>
      <c r="F39" s="479">
        <f t="shared" si="8"/>
        <v>9638.4700000000012</v>
      </c>
      <c r="G39" s="479">
        <f t="shared" si="8"/>
        <v>9638.4700000000012</v>
      </c>
      <c r="H39" s="479">
        <f t="shared" si="8"/>
        <v>9638.4700000000012</v>
      </c>
      <c r="I39" s="479">
        <f t="shared" si="8"/>
        <v>10858.970000000001</v>
      </c>
      <c r="J39" s="479">
        <f t="shared" si="8"/>
        <v>10858.970000000001</v>
      </c>
      <c r="K39" s="479">
        <f t="shared" si="8"/>
        <v>10858.970000000001</v>
      </c>
      <c r="L39" s="479">
        <f t="shared" si="8"/>
        <v>10858.970000000001</v>
      </c>
      <c r="M39" s="479">
        <f t="shared" si="8"/>
        <v>10858.970000000001</v>
      </c>
      <c r="N39" s="479">
        <f t="shared" si="8"/>
        <v>10858.970000000001</v>
      </c>
      <c r="O39" s="479">
        <f t="shared" si="3"/>
        <v>122984.64000000001</v>
      </c>
      <c r="P39" s="1"/>
      <c r="Q39" s="1"/>
      <c r="R39" s="1"/>
      <c r="S39" s="1"/>
      <c r="T39" s="1"/>
      <c r="U39" s="1"/>
      <c r="V39" s="1"/>
      <c r="W39" s="1"/>
      <c r="X39" s="1"/>
      <c r="Y39" s="1"/>
      <c r="Z39" s="1"/>
      <c r="AA39" s="1"/>
      <c r="AB39" s="1"/>
      <c r="AC39" s="1"/>
      <c r="AD39" s="1"/>
      <c r="AE39" s="1"/>
    </row>
    <row r="40" spans="1:31" ht="14.4" customHeight="1">
      <c r="A40" s="11"/>
      <c r="C40" s="258"/>
      <c r="D40" s="268"/>
      <c r="E40" s="265"/>
      <c r="F40" s="265"/>
      <c r="G40" s="265"/>
      <c r="H40" s="265"/>
      <c r="I40" s="265"/>
      <c r="J40" s="265"/>
      <c r="K40" s="265"/>
      <c r="L40" s="266"/>
      <c r="M40" s="151"/>
      <c r="N40" s="1"/>
      <c r="O40" s="1"/>
      <c r="P40" s="1"/>
      <c r="Q40" s="1"/>
      <c r="R40" s="1"/>
      <c r="S40" s="1"/>
      <c r="T40" s="1"/>
      <c r="U40" s="1"/>
      <c r="V40" s="1"/>
      <c r="W40" s="1"/>
      <c r="X40" s="1"/>
      <c r="Y40" s="1"/>
      <c r="Z40" s="1"/>
      <c r="AA40" s="1"/>
      <c r="AB40" s="1"/>
      <c r="AC40" s="1"/>
      <c r="AD40" s="1"/>
      <c r="AE40" s="1"/>
    </row>
    <row r="41" spans="1:31" ht="14.4" customHeight="1">
      <c r="A41" s="11"/>
      <c r="C41" s="269"/>
      <c r="D41" s="270"/>
      <c r="E41" s="233"/>
      <c r="F41" s="233"/>
      <c r="G41" s="233"/>
      <c r="H41" s="233"/>
      <c r="I41" s="233"/>
      <c r="J41" s="233"/>
      <c r="K41" s="233"/>
      <c r="L41" s="271"/>
      <c r="M41" s="151"/>
      <c r="N41" s="1"/>
      <c r="O41" s="1"/>
      <c r="P41" s="1"/>
      <c r="Q41" s="1"/>
      <c r="R41" s="1"/>
      <c r="S41" s="1"/>
      <c r="T41" s="1"/>
      <c r="U41" s="1"/>
      <c r="V41" s="1"/>
      <c r="W41" s="1"/>
      <c r="X41" s="1"/>
      <c r="Y41" s="1"/>
      <c r="Z41" s="1"/>
      <c r="AA41" s="1"/>
      <c r="AB41" s="1"/>
      <c r="AC41" s="1"/>
      <c r="AD41" s="1"/>
      <c r="AE41" s="1"/>
    </row>
    <row r="42" spans="1:31" ht="14.4" customHeight="1">
      <c r="A42" s="11"/>
      <c r="B42" s="469" t="s">
        <v>319</v>
      </c>
      <c r="C42" s="260"/>
      <c r="D42" s="261"/>
      <c r="E42" s="262"/>
      <c r="F42" s="262"/>
      <c r="G42" s="262"/>
      <c r="H42" s="262"/>
      <c r="I42" s="262"/>
      <c r="J42" s="262"/>
      <c r="K42" s="262"/>
      <c r="L42" s="263"/>
      <c r="M42" s="151"/>
      <c r="N42" s="1"/>
      <c r="O42" s="1"/>
      <c r="P42" s="1"/>
      <c r="Q42" s="1"/>
      <c r="R42" s="1"/>
      <c r="S42" s="1"/>
      <c r="T42" s="1"/>
      <c r="U42" s="1"/>
      <c r="V42" s="1"/>
      <c r="W42" s="1"/>
      <c r="X42" s="1"/>
      <c r="Y42" s="1"/>
      <c r="Z42" s="1"/>
      <c r="AA42" s="1"/>
      <c r="AB42" s="1"/>
      <c r="AC42" s="1"/>
      <c r="AD42" s="1"/>
      <c r="AE42" s="1"/>
    </row>
    <row r="43" spans="1:31" ht="14.4" customHeight="1">
      <c r="A43" s="11"/>
      <c r="B43" s="470" t="s">
        <v>299</v>
      </c>
      <c r="C43" s="470" t="s">
        <v>79</v>
      </c>
      <c r="D43" s="487" t="s">
        <v>80</v>
      </c>
      <c r="E43" s="487" t="s">
        <v>81</v>
      </c>
      <c r="F43" s="487" t="s">
        <v>82</v>
      </c>
      <c r="G43" s="487" t="s">
        <v>83</v>
      </c>
      <c r="H43" s="487" t="s">
        <v>84</v>
      </c>
      <c r="I43" s="487" t="s">
        <v>85</v>
      </c>
      <c r="J43" s="487" t="s">
        <v>86</v>
      </c>
      <c r="K43" s="487" t="s">
        <v>87</v>
      </c>
      <c r="L43" s="487" t="s">
        <v>88</v>
      </c>
      <c r="M43" s="470" t="s">
        <v>89</v>
      </c>
      <c r="N43" s="470" t="s">
        <v>90</v>
      </c>
      <c r="O43" s="470" t="s">
        <v>316</v>
      </c>
      <c r="P43" s="1"/>
      <c r="Q43" s="1"/>
      <c r="R43" s="1"/>
      <c r="S43" s="1"/>
      <c r="T43" s="1"/>
      <c r="U43" s="1"/>
      <c r="V43" s="1"/>
      <c r="W43" s="1"/>
      <c r="X43" s="1"/>
      <c r="Y43" s="1"/>
      <c r="Z43" s="1"/>
      <c r="AA43" s="1"/>
      <c r="AB43" s="1"/>
      <c r="AC43" s="1"/>
      <c r="AD43" s="1"/>
      <c r="AE43" s="1"/>
    </row>
    <row r="44" spans="1:31" ht="14.4" customHeight="1">
      <c r="A44" s="11"/>
      <c r="B44" s="474" t="s">
        <v>311</v>
      </c>
      <c r="C44" s="482">
        <v>1</v>
      </c>
      <c r="D44" s="482">
        <v>1</v>
      </c>
      <c r="E44" s="482">
        <v>1</v>
      </c>
      <c r="F44" s="482">
        <v>1</v>
      </c>
      <c r="G44" s="482">
        <v>1</v>
      </c>
      <c r="H44" s="482">
        <v>1</v>
      </c>
      <c r="I44" s="482">
        <v>1</v>
      </c>
      <c r="J44" s="482">
        <v>1</v>
      </c>
      <c r="K44" s="482">
        <v>1</v>
      </c>
      <c r="L44" s="482">
        <v>1</v>
      </c>
      <c r="M44" s="482">
        <v>1</v>
      </c>
      <c r="N44" s="482">
        <v>1</v>
      </c>
      <c r="O44" s="488">
        <f t="shared" ref="O44:O49" si="9">N44</f>
        <v>1</v>
      </c>
      <c r="P44" s="1"/>
      <c r="Q44" s="1"/>
      <c r="R44" s="1"/>
      <c r="S44" s="1"/>
      <c r="T44" s="1"/>
      <c r="U44" s="1"/>
      <c r="V44" s="1"/>
      <c r="W44" s="1"/>
      <c r="X44" s="1"/>
      <c r="Y44" s="1"/>
      <c r="Z44" s="1"/>
      <c r="AA44" s="1"/>
      <c r="AB44" s="1"/>
      <c r="AC44" s="1"/>
      <c r="AD44" s="1"/>
      <c r="AE44" s="1"/>
    </row>
    <row r="45" spans="1:31" ht="14.4" customHeight="1">
      <c r="A45" s="11"/>
      <c r="B45" s="474" t="s">
        <v>312</v>
      </c>
      <c r="C45" s="482">
        <v>1</v>
      </c>
      <c r="D45" s="482">
        <v>1</v>
      </c>
      <c r="E45" s="482">
        <v>1</v>
      </c>
      <c r="F45" s="482">
        <v>1</v>
      </c>
      <c r="G45" s="482">
        <v>1</v>
      </c>
      <c r="H45" s="482">
        <v>1</v>
      </c>
      <c r="I45" s="482">
        <v>1</v>
      </c>
      <c r="J45" s="482">
        <v>1</v>
      </c>
      <c r="K45" s="482">
        <v>1</v>
      </c>
      <c r="L45" s="482">
        <v>1</v>
      </c>
      <c r="M45" s="482">
        <v>1</v>
      </c>
      <c r="N45" s="482">
        <v>1</v>
      </c>
      <c r="O45" s="488">
        <f t="shared" si="9"/>
        <v>1</v>
      </c>
      <c r="P45" s="1"/>
      <c r="Q45" s="1"/>
      <c r="R45" s="1"/>
      <c r="S45" s="1"/>
      <c r="T45" s="1"/>
      <c r="U45" s="1"/>
      <c r="V45" s="1"/>
      <c r="W45" s="1"/>
      <c r="X45" s="1"/>
      <c r="Y45" s="1"/>
      <c r="Z45" s="1"/>
      <c r="AA45" s="1"/>
      <c r="AB45" s="1"/>
      <c r="AC45" s="1"/>
      <c r="AD45" s="1"/>
      <c r="AE45" s="1"/>
    </row>
    <row r="46" spans="1:31" ht="14.4" customHeight="1">
      <c r="A46" s="11"/>
      <c r="B46" s="474" t="s">
        <v>103</v>
      </c>
      <c r="C46" s="482">
        <v>1</v>
      </c>
      <c r="D46" s="482">
        <v>1</v>
      </c>
      <c r="E46" s="482">
        <v>1</v>
      </c>
      <c r="F46" s="482">
        <v>1</v>
      </c>
      <c r="G46" s="482">
        <v>1</v>
      </c>
      <c r="H46" s="482">
        <v>1</v>
      </c>
      <c r="I46" s="482">
        <v>1</v>
      </c>
      <c r="J46" s="482">
        <v>1</v>
      </c>
      <c r="K46" s="482">
        <v>1</v>
      </c>
      <c r="L46" s="482">
        <v>1</v>
      </c>
      <c r="M46" s="482">
        <v>1</v>
      </c>
      <c r="N46" s="482">
        <v>1</v>
      </c>
      <c r="O46" s="488">
        <f t="shared" si="9"/>
        <v>1</v>
      </c>
      <c r="P46" s="1"/>
      <c r="Q46" s="1"/>
      <c r="R46" s="1"/>
      <c r="S46" s="1"/>
      <c r="T46" s="1"/>
      <c r="U46" s="1"/>
      <c r="V46" s="1"/>
      <c r="W46" s="1"/>
      <c r="X46" s="1"/>
      <c r="Y46" s="1"/>
      <c r="Z46" s="1"/>
      <c r="AA46" s="1"/>
      <c r="AB46" s="1"/>
      <c r="AC46" s="1"/>
      <c r="AD46" s="1"/>
      <c r="AE46" s="1"/>
    </row>
    <row r="47" spans="1:31" ht="14.4" customHeight="1">
      <c r="A47" s="11"/>
      <c r="B47" s="474" t="s">
        <v>104</v>
      </c>
      <c r="C47" s="482">
        <v>1</v>
      </c>
      <c r="D47" s="482">
        <v>1</v>
      </c>
      <c r="E47" s="482">
        <v>1</v>
      </c>
      <c r="F47" s="482">
        <v>1</v>
      </c>
      <c r="G47" s="482">
        <v>1</v>
      </c>
      <c r="H47" s="482">
        <v>1</v>
      </c>
      <c r="I47" s="482">
        <v>1</v>
      </c>
      <c r="J47" s="482">
        <v>1</v>
      </c>
      <c r="K47" s="482">
        <v>2</v>
      </c>
      <c r="L47" s="482">
        <v>2</v>
      </c>
      <c r="M47" s="482">
        <v>2</v>
      </c>
      <c r="N47" s="482">
        <v>2</v>
      </c>
      <c r="O47" s="488">
        <f t="shared" si="9"/>
        <v>2</v>
      </c>
      <c r="P47" s="1"/>
      <c r="Q47" s="1"/>
      <c r="R47" s="1"/>
      <c r="S47" s="1"/>
      <c r="T47" s="1"/>
      <c r="U47" s="1"/>
      <c r="V47" s="1"/>
      <c r="W47" s="1"/>
      <c r="X47" s="1"/>
      <c r="Y47" s="1"/>
      <c r="Z47" s="1"/>
      <c r="AA47" s="1"/>
      <c r="AB47" s="1"/>
      <c r="AC47" s="1"/>
      <c r="AD47" s="1"/>
      <c r="AE47" s="1"/>
    </row>
    <row r="48" spans="1:31" ht="14.4" customHeight="1">
      <c r="A48" s="11"/>
      <c r="B48" s="474" t="s">
        <v>105</v>
      </c>
      <c r="C48" s="482">
        <v>3</v>
      </c>
      <c r="D48" s="482">
        <v>3</v>
      </c>
      <c r="E48" s="482">
        <v>3</v>
      </c>
      <c r="F48" s="482">
        <v>3</v>
      </c>
      <c r="G48" s="482">
        <v>3</v>
      </c>
      <c r="H48" s="482">
        <v>3</v>
      </c>
      <c r="I48" s="482">
        <v>3</v>
      </c>
      <c r="J48" s="482">
        <v>3</v>
      </c>
      <c r="K48" s="482">
        <v>3</v>
      </c>
      <c r="L48" s="482">
        <v>3</v>
      </c>
      <c r="M48" s="482">
        <v>3</v>
      </c>
      <c r="N48" s="482">
        <v>3</v>
      </c>
      <c r="O48" s="488">
        <f t="shared" si="9"/>
        <v>3</v>
      </c>
      <c r="P48" s="1"/>
      <c r="Q48" s="1"/>
      <c r="R48" s="1"/>
      <c r="S48" s="1"/>
      <c r="T48" s="1"/>
      <c r="U48" s="1"/>
      <c r="V48" s="1"/>
      <c r="W48" s="1"/>
      <c r="X48" s="1"/>
      <c r="Y48" s="1"/>
      <c r="Z48" s="1"/>
      <c r="AA48" s="1"/>
      <c r="AB48" s="1"/>
      <c r="AC48" s="1"/>
      <c r="AD48" s="1"/>
      <c r="AE48" s="1"/>
    </row>
    <row r="49" spans="1:31" ht="14.4" customHeight="1">
      <c r="A49" s="11"/>
      <c r="B49" s="477" t="s">
        <v>317</v>
      </c>
      <c r="C49" s="489">
        <f t="shared" ref="C49:N49" si="10">SUM(C44:C48)</f>
        <v>7</v>
      </c>
      <c r="D49" s="489">
        <f t="shared" si="10"/>
        <v>7</v>
      </c>
      <c r="E49" s="489">
        <f t="shared" si="10"/>
        <v>7</v>
      </c>
      <c r="F49" s="489">
        <f t="shared" si="10"/>
        <v>7</v>
      </c>
      <c r="G49" s="489">
        <f t="shared" si="10"/>
        <v>7</v>
      </c>
      <c r="H49" s="489">
        <f t="shared" si="10"/>
        <v>7</v>
      </c>
      <c r="I49" s="489">
        <f t="shared" si="10"/>
        <v>7</v>
      </c>
      <c r="J49" s="489">
        <f t="shared" si="10"/>
        <v>7</v>
      </c>
      <c r="K49" s="489">
        <f t="shared" si="10"/>
        <v>8</v>
      </c>
      <c r="L49" s="489">
        <f t="shared" si="10"/>
        <v>8</v>
      </c>
      <c r="M49" s="489">
        <f t="shared" si="10"/>
        <v>8</v>
      </c>
      <c r="N49" s="489">
        <f t="shared" si="10"/>
        <v>8</v>
      </c>
      <c r="O49" s="489">
        <f t="shared" si="9"/>
        <v>8</v>
      </c>
      <c r="P49" s="1"/>
      <c r="Q49" s="1"/>
      <c r="R49" s="1"/>
      <c r="S49" s="1"/>
      <c r="T49" s="1"/>
      <c r="U49" s="1"/>
      <c r="V49" s="1"/>
      <c r="W49" s="1"/>
      <c r="X49" s="1"/>
      <c r="Y49" s="1"/>
      <c r="Z49" s="1"/>
      <c r="AA49" s="1"/>
      <c r="AB49" s="1"/>
      <c r="AC49" s="1"/>
      <c r="AD49" s="1"/>
      <c r="AE49" s="1"/>
    </row>
    <row r="50" spans="1:31" ht="14.4" customHeight="1">
      <c r="A50" s="11"/>
      <c r="B50" s="469" t="s">
        <v>320</v>
      </c>
      <c r="C50" s="259"/>
      <c r="D50" s="264"/>
      <c r="E50" s="265"/>
      <c r="F50" s="265"/>
      <c r="G50" s="265"/>
      <c r="H50" s="265"/>
      <c r="I50" s="265"/>
      <c r="J50" s="265"/>
      <c r="K50" s="265"/>
      <c r="L50" s="266"/>
      <c r="M50" s="151"/>
      <c r="N50" s="1"/>
      <c r="O50" s="1"/>
      <c r="P50" s="1"/>
      <c r="Q50" s="1"/>
      <c r="R50" s="1"/>
      <c r="S50" s="1"/>
      <c r="T50" s="1"/>
      <c r="U50" s="1"/>
      <c r="V50" s="1"/>
      <c r="W50" s="1"/>
      <c r="X50" s="1"/>
      <c r="Y50" s="1"/>
      <c r="Z50" s="1"/>
      <c r="AA50" s="1"/>
      <c r="AB50" s="1"/>
      <c r="AC50" s="1"/>
      <c r="AD50" s="1"/>
      <c r="AE50" s="1"/>
    </row>
    <row r="51" spans="1:31" ht="14.4" customHeight="1">
      <c r="A51" s="11"/>
      <c r="B51" s="470" t="s">
        <v>299</v>
      </c>
      <c r="C51" s="470" t="s">
        <v>79</v>
      </c>
      <c r="D51" s="487" t="s">
        <v>80</v>
      </c>
      <c r="E51" s="487" t="s">
        <v>81</v>
      </c>
      <c r="F51" s="487" t="s">
        <v>82</v>
      </c>
      <c r="G51" s="487" t="s">
        <v>83</v>
      </c>
      <c r="H51" s="487" t="s">
        <v>84</v>
      </c>
      <c r="I51" s="487" t="s">
        <v>85</v>
      </c>
      <c r="J51" s="487" t="s">
        <v>86</v>
      </c>
      <c r="K51" s="487" t="s">
        <v>87</v>
      </c>
      <c r="L51" s="487" t="s">
        <v>88</v>
      </c>
      <c r="M51" s="470" t="s">
        <v>89</v>
      </c>
      <c r="N51" s="470" t="s">
        <v>90</v>
      </c>
      <c r="O51" s="470" t="s">
        <v>248</v>
      </c>
      <c r="P51" s="1"/>
      <c r="Q51" s="1"/>
      <c r="R51" s="1"/>
      <c r="S51" s="1"/>
      <c r="T51" s="1"/>
      <c r="U51" s="1"/>
      <c r="V51" s="1"/>
      <c r="W51" s="1"/>
      <c r="X51" s="1"/>
      <c r="Y51" s="1"/>
      <c r="Z51" s="1"/>
      <c r="AA51" s="1"/>
      <c r="AB51" s="1"/>
      <c r="AC51" s="1"/>
      <c r="AD51" s="1"/>
      <c r="AE51" s="1"/>
    </row>
    <row r="52" spans="1:31" ht="14.4" customHeight="1">
      <c r="A52" s="11"/>
      <c r="B52" s="474" t="s">
        <v>311</v>
      </c>
      <c r="C52" s="473">
        <f t="shared" ref="C52:N52" si="11">C44*$L$16</f>
        <v>2439.8000000000002</v>
      </c>
      <c r="D52" s="473">
        <f t="shared" si="11"/>
        <v>2439.8000000000002</v>
      </c>
      <c r="E52" s="473">
        <f t="shared" si="11"/>
        <v>2439.8000000000002</v>
      </c>
      <c r="F52" s="473">
        <f t="shared" si="11"/>
        <v>2439.8000000000002</v>
      </c>
      <c r="G52" s="473">
        <f t="shared" si="11"/>
        <v>2439.8000000000002</v>
      </c>
      <c r="H52" s="473">
        <f t="shared" si="11"/>
        <v>2439.8000000000002</v>
      </c>
      <c r="I52" s="473">
        <f t="shared" si="11"/>
        <v>2439.8000000000002</v>
      </c>
      <c r="J52" s="473">
        <f t="shared" si="11"/>
        <v>2439.8000000000002</v>
      </c>
      <c r="K52" s="473">
        <f t="shared" si="11"/>
        <v>2439.8000000000002</v>
      </c>
      <c r="L52" s="473">
        <f t="shared" si="11"/>
        <v>2439.8000000000002</v>
      </c>
      <c r="M52" s="473">
        <f t="shared" si="11"/>
        <v>2439.8000000000002</v>
      </c>
      <c r="N52" s="473">
        <f t="shared" si="11"/>
        <v>2439.8000000000002</v>
      </c>
      <c r="O52" s="475">
        <f t="shared" ref="O52:O57" si="12">SUM(C52:N52)</f>
        <v>29277.599999999995</v>
      </c>
      <c r="P52" s="1"/>
      <c r="Q52" s="1"/>
      <c r="R52" s="1"/>
      <c r="S52" s="1"/>
      <c r="T52" s="1"/>
      <c r="U52" s="1"/>
      <c r="V52" s="1"/>
      <c r="W52" s="1"/>
      <c r="X52" s="1"/>
      <c r="Y52" s="1"/>
      <c r="Z52" s="1"/>
      <c r="AA52" s="1"/>
      <c r="AB52" s="1"/>
      <c r="AC52" s="1"/>
      <c r="AD52" s="1"/>
      <c r="AE52" s="1"/>
    </row>
    <row r="53" spans="1:31" ht="14.4" customHeight="1">
      <c r="A53" s="11"/>
      <c r="B53" s="474" t="s">
        <v>312</v>
      </c>
      <c r="C53" s="473">
        <f t="shared" ref="C53:N53" si="13">C45*$L$17</f>
        <v>2439.8000000000002</v>
      </c>
      <c r="D53" s="473">
        <f t="shared" si="13"/>
        <v>2439.8000000000002</v>
      </c>
      <c r="E53" s="473">
        <f t="shared" si="13"/>
        <v>2439.8000000000002</v>
      </c>
      <c r="F53" s="473">
        <f t="shared" si="13"/>
        <v>2439.8000000000002</v>
      </c>
      <c r="G53" s="473">
        <f t="shared" si="13"/>
        <v>2439.8000000000002</v>
      </c>
      <c r="H53" s="473">
        <f t="shared" si="13"/>
        <v>2439.8000000000002</v>
      </c>
      <c r="I53" s="473">
        <f t="shared" si="13"/>
        <v>2439.8000000000002</v>
      </c>
      <c r="J53" s="473">
        <f t="shared" si="13"/>
        <v>2439.8000000000002</v>
      </c>
      <c r="K53" s="473">
        <f t="shared" si="13"/>
        <v>2439.8000000000002</v>
      </c>
      <c r="L53" s="473">
        <f t="shared" si="13"/>
        <v>2439.8000000000002</v>
      </c>
      <c r="M53" s="473">
        <f t="shared" si="13"/>
        <v>2439.8000000000002</v>
      </c>
      <c r="N53" s="473">
        <f t="shared" si="13"/>
        <v>2439.8000000000002</v>
      </c>
      <c r="O53" s="475">
        <f t="shared" si="12"/>
        <v>29277.599999999995</v>
      </c>
      <c r="P53" s="1"/>
      <c r="Q53" s="1"/>
      <c r="R53" s="1"/>
      <c r="S53" s="1"/>
      <c r="T53" s="1"/>
      <c r="U53" s="1"/>
      <c r="V53" s="1"/>
      <c r="W53" s="1"/>
      <c r="X53" s="1"/>
      <c r="Y53" s="1"/>
      <c r="Z53" s="1"/>
      <c r="AA53" s="1"/>
      <c r="AB53" s="1"/>
      <c r="AC53" s="1"/>
      <c r="AD53" s="1"/>
      <c r="AE53" s="1"/>
    </row>
    <row r="54" spans="1:31" ht="14.4" customHeight="1">
      <c r="A54" s="11"/>
      <c r="B54" s="474" t="s">
        <v>103</v>
      </c>
      <c r="C54" s="473">
        <f t="shared" ref="C54:N54" si="14">C46*$L$18</f>
        <v>2195.94</v>
      </c>
      <c r="D54" s="473">
        <f t="shared" si="14"/>
        <v>2195.94</v>
      </c>
      <c r="E54" s="473">
        <f t="shared" si="14"/>
        <v>2195.94</v>
      </c>
      <c r="F54" s="473">
        <f t="shared" si="14"/>
        <v>2195.94</v>
      </c>
      <c r="G54" s="473">
        <f t="shared" si="14"/>
        <v>2195.94</v>
      </c>
      <c r="H54" s="473">
        <f t="shared" si="14"/>
        <v>2195.94</v>
      </c>
      <c r="I54" s="473">
        <f t="shared" si="14"/>
        <v>2195.94</v>
      </c>
      <c r="J54" s="473">
        <f t="shared" si="14"/>
        <v>2195.94</v>
      </c>
      <c r="K54" s="473">
        <f t="shared" si="14"/>
        <v>2195.94</v>
      </c>
      <c r="L54" s="473">
        <f t="shared" si="14"/>
        <v>2195.94</v>
      </c>
      <c r="M54" s="473">
        <f t="shared" si="14"/>
        <v>2195.94</v>
      </c>
      <c r="N54" s="473">
        <f t="shared" si="14"/>
        <v>2195.94</v>
      </c>
      <c r="O54" s="475">
        <f t="shared" si="12"/>
        <v>26351.279999999995</v>
      </c>
      <c r="P54" s="1"/>
      <c r="Q54" s="1"/>
      <c r="R54" s="1"/>
      <c r="S54" s="1"/>
      <c r="T54" s="1"/>
      <c r="U54" s="1"/>
      <c r="V54" s="1"/>
      <c r="W54" s="1"/>
      <c r="X54" s="1"/>
      <c r="Y54" s="1"/>
      <c r="Z54" s="1"/>
      <c r="AA54" s="1"/>
      <c r="AB54" s="1"/>
      <c r="AC54" s="1"/>
      <c r="AD54" s="1"/>
      <c r="AE54" s="1"/>
    </row>
    <row r="55" spans="1:31" ht="14.4" customHeight="1">
      <c r="A55" s="11"/>
      <c r="B55" s="474" t="s">
        <v>104</v>
      </c>
      <c r="C55" s="473">
        <f t="shared" ref="C55:N55" si="15">C47*$L$19</f>
        <v>1342.43</v>
      </c>
      <c r="D55" s="473">
        <f t="shared" si="15"/>
        <v>1342.43</v>
      </c>
      <c r="E55" s="473">
        <f t="shared" si="15"/>
        <v>1342.43</v>
      </c>
      <c r="F55" s="473">
        <f t="shared" si="15"/>
        <v>1342.43</v>
      </c>
      <c r="G55" s="473">
        <f t="shared" si="15"/>
        <v>1342.43</v>
      </c>
      <c r="H55" s="473">
        <f t="shared" si="15"/>
        <v>1342.43</v>
      </c>
      <c r="I55" s="473">
        <f t="shared" si="15"/>
        <v>1342.43</v>
      </c>
      <c r="J55" s="473">
        <f t="shared" si="15"/>
        <v>1342.43</v>
      </c>
      <c r="K55" s="473">
        <f t="shared" si="15"/>
        <v>2684.86</v>
      </c>
      <c r="L55" s="473">
        <f t="shared" si="15"/>
        <v>2684.86</v>
      </c>
      <c r="M55" s="473">
        <f t="shared" si="15"/>
        <v>2684.86</v>
      </c>
      <c r="N55" s="473">
        <f t="shared" si="15"/>
        <v>2684.86</v>
      </c>
      <c r="O55" s="475">
        <f t="shared" si="12"/>
        <v>21478.880000000001</v>
      </c>
      <c r="P55" s="1"/>
      <c r="Q55" s="1"/>
      <c r="R55" s="1"/>
      <c r="S55" s="1"/>
      <c r="T55" s="1"/>
      <c r="U55" s="1"/>
      <c r="V55" s="1"/>
      <c r="W55" s="1"/>
      <c r="X55" s="1"/>
      <c r="Y55" s="1"/>
      <c r="Z55" s="1"/>
      <c r="AA55" s="1"/>
      <c r="AB55" s="1"/>
      <c r="AC55" s="1"/>
      <c r="AD55" s="1"/>
      <c r="AE55" s="1"/>
    </row>
    <row r="56" spans="1:31" ht="14.4" customHeight="1">
      <c r="A56" s="11"/>
      <c r="B56" s="474" t="s">
        <v>105</v>
      </c>
      <c r="C56" s="473">
        <f t="shared" ref="C56:N56" si="16">C48*$L$20</f>
        <v>3661.5</v>
      </c>
      <c r="D56" s="473">
        <f t="shared" si="16"/>
        <v>3661.5</v>
      </c>
      <c r="E56" s="473">
        <f t="shared" si="16"/>
        <v>3661.5</v>
      </c>
      <c r="F56" s="473">
        <f t="shared" si="16"/>
        <v>3661.5</v>
      </c>
      <c r="G56" s="473">
        <f t="shared" si="16"/>
        <v>3661.5</v>
      </c>
      <c r="H56" s="473">
        <f t="shared" si="16"/>
        <v>3661.5</v>
      </c>
      <c r="I56" s="473">
        <f t="shared" si="16"/>
        <v>3661.5</v>
      </c>
      <c r="J56" s="473">
        <f t="shared" si="16"/>
        <v>3661.5</v>
      </c>
      <c r="K56" s="473">
        <f t="shared" si="16"/>
        <v>3661.5</v>
      </c>
      <c r="L56" s="473">
        <f t="shared" si="16"/>
        <v>3661.5</v>
      </c>
      <c r="M56" s="473">
        <f t="shared" si="16"/>
        <v>3661.5</v>
      </c>
      <c r="N56" s="473">
        <f t="shared" si="16"/>
        <v>3661.5</v>
      </c>
      <c r="O56" s="475">
        <f t="shared" si="12"/>
        <v>43938</v>
      </c>
      <c r="P56" s="1"/>
      <c r="Q56" s="1"/>
      <c r="R56" s="1"/>
      <c r="S56" s="1"/>
      <c r="T56" s="1"/>
      <c r="U56" s="1"/>
      <c r="V56" s="1"/>
      <c r="W56" s="1"/>
      <c r="X56" s="1"/>
      <c r="Y56" s="1"/>
      <c r="Z56" s="1"/>
      <c r="AA56" s="1"/>
      <c r="AB56" s="1"/>
      <c r="AC56" s="1"/>
      <c r="AD56" s="1"/>
      <c r="AE56" s="1"/>
    </row>
    <row r="57" spans="1:31" ht="14.4" customHeight="1">
      <c r="A57" s="11"/>
      <c r="B57" s="477" t="s">
        <v>273</v>
      </c>
      <c r="C57" s="479">
        <f t="shared" ref="C57:N57" si="17">SUM(C52:C56)</f>
        <v>12079.470000000001</v>
      </c>
      <c r="D57" s="479">
        <f t="shared" si="17"/>
        <v>12079.470000000001</v>
      </c>
      <c r="E57" s="479">
        <f t="shared" si="17"/>
        <v>12079.470000000001</v>
      </c>
      <c r="F57" s="479">
        <f t="shared" si="17"/>
        <v>12079.470000000001</v>
      </c>
      <c r="G57" s="479">
        <f t="shared" si="17"/>
        <v>12079.470000000001</v>
      </c>
      <c r="H57" s="479">
        <f t="shared" si="17"/>
        <v>12079.470000000001</v>
      </c>
      <c r="I57" s="479">
        <f t="shared" si="17"/>
        <v>12079.470000000001</v>
      </c>
      <c r="J57" s="479">
        <f t="shared" si="17"/>
        <v>12079.470000000001</v>
      </c>
      <c r="K57" s="479">
        <f t="shared" si="17"/>
        <v>13421.900000000001</v>
      </c>
      <c r="L57" s="479">
        <f t="shared" si="17"/>
        <v>13421.900000000001</v>
      </c>
      <c r="M57" s="479">
        <f t="shared" si="17"/>
        <v>13421.900000000001</v>
      </c>
      <c r="N57" s="479">
        <f t="shared" si="17"/>
        <v>13421.900000000001</v>
      </c>
      <c r="O57" s="479">
        <f t="shared" si="12"/>
        <v>150323.35999999999</v>
      </c>
      <c r="P57" s="1"/>
      <c r="Q57" s="1"/>
      <c r="R57" s="1"/>
      <c r="S57" s="1"/>
      <c r="T57" s="1"/>
      <c r="U57" s="1"/>
      <c r="V57" s="1"/>
      <c r="W57" s="1"/>
      <c r="X57" s="1"/>
      <c r="Y57" s="1"/>
      <c r="Z57" s="1"/>
      <c r="AA57" s="1"/>
      <c r="AB57" s="1"/>
      <c r="AC57" s="1"/>
      <c r="AD57" s="1"/>
      <c r="AE57" s="1"/>
    </row>
    <row r="58" spans="1:31" ht="14.4" customHeight="1">
      <c r="A58" s="11"/>
      <c r="C58" s="272"/>
      <c r="D58" s="268"/>
      <c r="E58" s="265"/>
      <c r="F58" s="265"/>
      <c r="G58" s="265"/>
      <c r="H58" s="265"/>
      <c r="I58" s="265"/>
      <c r="J58" s="265"/>
      <c r="K58" s="265"/>
      <c r="L58" s="266"/>
      <c r="M58" s="151"/>
      <c r="N58" s="1"/>
      <c r="O58" s="1"/>
      <c r="P58" s="1"/>
      <c r="Q58" s="1"/>
      <c r="R58" s="1"/>
      <c r="S58" s="1"/>
      <c r="T58" s="1"/>
      <c r="U58" s="1"/>
      <c r="V58" s="1"/>
      <c r="W58" s="1"/>
      <c r="X58" s="1"/>
      <c r="Y58" s="1"/>
      <c r="Z58" s="1"/>
      <c r="AA58" s="1"/>
      <c r="AB58" s="1"/>
      <c r="AC58" s="1"/>
      <c r="AD58" s="1"/>
      <c r="AE58" s="1"/>
    </row>
    <row r="59" spans="1:31" ht="14.4" customHeight="1">
      <c r="A59" s="11"/>
      <c r="C59" s="258"/>
      <c r="D59" s="264"/>
      <c r="E59" s="265"/>
      <c r="F59" s="265"/>
      <c r="G59" s="265"/>
      <c r="H59" s="265"/>
      <c r="I59" s="265"/>
      <c r="J59" s="265"/>
      <c r="K59" s="265"/>
      <c r="L59" s="266"/>
      <c r="M59" s="151"/>
      <c r="N59" s="1"/>
      <c r="O59" s="1"/>
      <c r="P59" s="1"/>
      <c r="Q59" s="1"/>
      <c r="R59" s="1"/>
      <c r="S59" s="1"/>
      <c r="T59" s="1"/>
      <c r="U59" s="1"/>
      <c r="V59" s="1"/>
      <c r="W59" s="1"/>
      <c r="X59" s="1"/>
      <c r="Y59" s="1"/>
      <c r="Z59" s="1"/>
      <c r="AA59" s="1"/>
      <c r="AB59" s="1"/>
      <c r="AC59" s="1"/>
      <c r="AD59" s="1"/>
      <c r="AE59" s="1"/>
    </row>
    <row r="60" spans="1:31" ht="14.4" customHeight="1">
      <c r="A60" s="11"/>
      <c r="B60" s="469" t="s">
        <v>321</v>
      </c>
      <c r="C60" s="258"/>
      <c r="D60" s="264"/>
      <c r="E60" s="265"/>
      <c r="F60" s="265"/>
      <c r="G60" s="265"/>
      <c r="H60" s="265"/>
      <c r="I60" s="265"/>
      <c r="J60" s="265"/>
      <c r="K60" s="265"/>
      <c r="L60" s="266"/>
      <c r="M60" s="151"/>
      <c r="N60" s="1"/>
      <c r="O60" s="1"/>
      <c r="P60" s="1"/>
      <c r="Q60" s="1"/>
      <c r="R60" s="1"/>
      <c r="S60" s="1"/>
      <c r="T60" s="1"/>
      <c r="U60" s="1"/>
      <c r="V60" s="1"/>
      <c r="W60" s="1"/>
      <c r="X60" s="1"/>
      <c r="Y60" s="1"/>
      <c r="Z60" s="1"/>
      <c r="AA60" s="1"/>
      <c r="AB60" s="1"/>
      <c r="AC60" s="1"/>
      <c r="AD60" s="1"/>
      <c r="AE60" s="1"/>
    </row>
    <row r="61" spans="1:31" ht="14.4" customHeight="1">
      <c r="A61" s="11"/>
      <c r="B61" s="470" t="s">
        <v>299</v>
      </c>
      <c r="C61" s="470" t="s">
        <v>79</v>
      </c>
      <c r="D61" s="487" t="s">
        <v>80</v>
      </c>
      <c r="E61" s="487" t="s">
        <v>81</v>
      </c>
      <c r="F61" s="487" t="s">
        <v>82</v>
      </c>
      <c r="G61" s="487" t="s">
        <v>83</v>
      </c>
      <c r="H61" s="487" t="s">
        <v>84</v>
      </c>
      <c r="I61" s="487" t="s">
        <v>85</v>
      </c>
      <c r="J61" s="487" t="s">
        <v>86</v>
      </c>
      <c r="K61" s="487" t="s">
        <v>87</v>
      </c>
      <c r="L61" s="487" t="s">
        <v>88</v>
      </c>
      <c r="M61" s="470" t="s">
        <v>89</v>
      </c>
      <c r="N61" s="470" t="s">
        <v>90</v>
      </c>
      <c r="O61" s="470" t="s">
        <v>316</v>
      </c>
      <c r="P61" s="1"/>
      <c r="Q61" s="1"/>
      <c r="R61" s="1"/>
      <c r="S61" s="1"/>
      <c r="T61" s="1"/>
      <c r="U61" s="1"/>
      <c r="V61" s="1"/>
      <c r="W61" s="1"/>
      <c r="X61" s="1"/>
      <c r="Y61" s="1"/>
      <c r="Z61" s="1"/>
      <c r="AA61" s="1"/>
      <c r="AB61" s="1"/>
      <c r="AC61" s="1"/>
      <c r="AD61" s="1"/>
      <c r="AE61" s="1"/>
    </row>
    <row r="62" spans="1:31" ht="14.4" customHeight="1">
      <c r="A62" s="11"/>
      <c r="B62" s="474" t="s">
        <v>311</v>
      </c>
      <c r="C62" s="482">
        <v>1</v>
      </c>
      <c r="D62" s="482">
        <v>1</v>
      </c>
      <c r="E62" s="482">
        <v>1</v>
      </c>
      <c r="F62" s="482">
        <v>1</v>
      </c>
      <c r="G62" s="482">
        <v>1</v>
      </c>
      <c r="H62" s="482">
        <v>1</v>
      </c>
      <c r="I62" s="482">
        <v>1</v>
      </c>
      <c r="J62" s="482">
        <v>1</v>
      </c>
      <c r="K62" s="482">
        <v>1</v>
      </c>
      <c r="L62" s="482">
        <v>1</v>
      </c>
      <c r="M62" s="482">
        <v>1</v>
      </c>
      <c r="N62" s="482">
        <v>1</v>
      </c>
      <c r="O62" s="488">
        <f t="shared" ref="O62:O67" si="18">N62</f>
        <v>1</v>
      </c>
      <c r="P62" s="1"/>
      <c r="Q62" s="1"/>
      <c r="R62" s="1"/>
      <c r="S62" s="1"/>
      <c r="T62" s="1"/>
      <c r="U62" s="1"/>
      <c r="V62" s="1"/>
      <c r="W62" s="1"/>
      <c r="X62" s="1"/>
      <c r="Y62" s="1"/>
      <c r="Z62" s="1"/>
      <c r="AA62" s="1"/>
      <c r="AB62" s="1"/>
      <c r="AC62" s="1"/>
      <c r="AD62" s="1"/>
      <c r="AE62" s="1"/>
    </row>
    <row r="63" spans="1:31" ht="14.4" customHeight="1">
      <c r="A63" s="11"/>
      <c r="B63" s="474" t="s">
        <v>312</v>
      </c>
      <c r="C63" s="482">
        <v>1</v>
      </c>
      <c r="D63" s="482">
        <v>1</v>
      </c>
      <c r="E63" s="482">
        <v>1</v>
      </c>
      <c r="F63" s="482">
        <v>1</v>
      </c>
      <c r="G63" s="482">
        <v>1</v>
      </c>
      <c r="H63" s="482">
        <v>1</v>
      </c>
      <c r="I63" s="482">
        <v>1</v>
      </c>
      <c r="J63" s="482">
        <v>1</v>
      </c>
      <c r="K63" s="482">
        <v>1</v>
      </c>
      <c r="L63" s="482">
        <v>1</v>
      </c>
      <c r="M63" s="482">
        <v>1</v>
      </c>
      <c r="N63" s="482">
        <v>1</v>
      </c>
      <c r="O63" s="488">
        <f t="shared" si="18"/>
        <v>1</v>
      </c>
      <c r="P63" s="1"/>
      <c r="Q63" s="1"/>
      <c r="R63" s="1"/>
      <c r="S63" s="1"/>
      <c r="T63" s="1"/>
      <c r="U63" s="1"/>
      <c r="V63" s="1"/>
      <c r="W63" s="1"/>
      <c r="X63" s="1"/>
      <c r="Y63" s="1"/>
      <c r="Z63" s="1"/>
      <c r="AA63" s="1"/>
      <c r="AB63" s="1"/>
      <c r="AC63" s="1"/>
      <c r="AD63" s="1"/>
      <c r="AE63" s="1"/>
    </row>
    <row r="64" spans="1:31" ht="14.4" customHeight="1">
      <c r="A64" s="11"/>
      <c r="B64" s="474" t="s">
        <v>103</v>
      </c>
      <c r="C64" s="482">
        <v>1</v>
      </c>
      <c r="D64" s="482">
        <v>1</v>
      </c>
      <c r="E64" s="482">
        <v>1</v>
      </c>
      <c r="F64" s="482">
        <v>1</v>
      </c>
      <c r="G64" s="482">
        <v>1</v>
      </c>
      <c r="H64" s="482">
        <v>1</v>
      </c>
      <c r="I64" s="482">
        <v>1</v>
      </c>
      <c r="J64" s="482">
        <v>1</v>
      </c>
      <c r="K64" s="482">
        <v>1</v>
      </c>
      <c r="L64" s="482">
        <v>1</v>
      </c>
      <c r="M64" s="482">
        <v>1</v>
      </c>
      <c r="N64" s="482">
        <v>1</v>
      </c>
      <c r="O64" s="488">
        <f t="shared" si="18"/>
        <v>1</v>
      </c>
      <c r="P64" s="1"/>
      <c r="Q64" s="1"/>
      <c r="R64" s="1"/>
      <c r="S64" s="1"/>
      <c r="T64" s="1"/>
      <c r="U64" s="1"/>
      <c r="V64" s="1"/>
      <c r="W64" s="1"/>
      <c r="X64" s="1"/>
      <c r="Y64" s="1"/>
      <c r="Z64" s="1"/>
      <c r="AA64" s="1"/>
      <c r="AB64" s="1"/>
      <c r="AC64" s="1"/>
      <c r="AD64" s="1"/>
      <c r="AE64" s="1"/>
    </row>
    <row r="65" spans="1:31" ht="14.4" customHeight="1">
      <c r="A65" s="11"/>
      <c r="B65" s="474" t="s">
        <v>104</v>
      </c>
      <c r="C65" s="482">
        <v>2</v>
      </c>
      <c r="D65" s="482">
        <v>3</v>
      </c>
      <c r="E65" s="482">
        <v>3</v>
      </c>
      <c r="F65" s="482">
        <v>3</v>
      </c>
      <c r="G65" s="482">
        <v>3</v>
      </c>
      <c r="H65" s="482">
        <v>3</v>
      </c>
      <c r="I65" s="482">
        <v>3</v>
      </c>
      <c r="J65" s="482">
        <v>3</v>
      </c>
      <c r="K65" s="482">
        <v>3</v>
      </c>
      <c r="L65" s="482">
        <v>3</v>
      </c>
      <c r="M65" s="482">
        <v>3</v>
      </c>
      <c r="N65" s="482">
        <v>3</v>
      </c>
      <c r="O65" s="488">
        <f t="shared" si="18"/>
        <v>3</v>
      </c>
      <c r="P65" s="1"/>
      <c r="Q65" s="1"/>
      <c r="R65" s="1"/>
      <c r="S65" s="1"/>
      <c r="T65" s="1"/>
      <c r="U65" s="1"/>
      <c r="V65" s="1"/>
      <c r="W65" s="1"/>
      <c r="X65" s="1"/>
      <c r="Y65" s="1"/>
      <c r="Z65" s="1"/>
      <c r="AA65" s="1"/>
      <c r="AB65" s="1"/>
      <c r="AC65" s="1"/>
      <c r="AD65" s="1"/>
      <c r="AE65" s="1"/>
    </row>
    <row r="66" spans="1:31" ht="14.4" customHeight="1">
      <c r="A66" s="11"/>
      <c r="B66" s="474" t="s">
        <v>105</v>
      </c>
      <c r="C66" s="482">
        <v>3</v>
      </c>
      <c r="D66" s="482">
        <v>3</v>
      </c>
      <c r="E66" s="482">
        <v>3</v>
      </c>
      <c r="F66" s="482">
        <v>3</v>
      </c>
      <c r="G66" s="482">
        <v>3</v>
      </c>
      <c r="H66" s="482">
        <v>3</v>
      </c>
      <c r="I66" s="482">
        <v>4</v>
      </c>
      <c r="J66" s="482">
        <v>4</v>
      </c>
      <c r="K66" s="482">
        <v>4</v>
      </c>
      <c r="L66" s="482">
        <v>4</v>
      </c>
      <c r="M66" s="482">
        <v>4</v>
      </c>
      <c r="N66" s="482">
        <v>4</v>
      </c>
      <c r="O66" s="488">
        <f t="shared" si="18"/>
        <v>4</v>
      </c>
      <c r="P66" s="1"/>
      <c r="Q66" s="1"/>
      <c r="R66" s="1"/>
      <c r="S66" s="1"/>
      <c r="T66" s="1"/>
      <c r="U66" s="1"/>
      <c r="V66" s="1"/>
      <c r="W66" s="1"/>
      <c r="X66" s="1"/>
      <c r="Y66" s="1"/>
      <c r="Z66" s="1"/>
      <c r="AA66" s="1"/>
      <c r="AB66" s="1"/>
      <c r="AC66" s="1"/>
      <c r="AD66" s="1"/>
      <c r="AE66" s="1"/>
    </row>
    <row r="67" spans="1:31" ht="14.4" customHeight="1">
      <c r="A67" s="11"/>
      <c r="B67" s="477" t="s">
        <v>317</v>
      </c>
      <c r="C67" s="489">
        <f t="shared" ref="C67:N67" si="19">SUM(C62:C66)</f>
        <v>8</v>
      </c>
      <c r="D67" s="489">
        <f t="shared" si="19"/>
        <v>9</v>
      </c>
      <c r="E67" s="489">
        <f t="shared" si="19"/>
        <v>9</v>
      </c>
      <c r="F67" s="489">
        <f t="shared" si="19"/>
        <v>9</v>
      </c>
      <c r="G67" s="489">
        <f t="shared" si="19"/>
        <v>9</v>
      </c>
      <c r="H67" s="489">
        <f t="shared" si="19"/>
        <v>9</v>
      </c>
      <c r="I67" s="489">
        <f t="shared" si="19"/>
        <v>10</v>
      </c>
      <c r="J67" s="489">
        <f t="shared" si="19"/>
        <v>10</v>
      </c>
      <c r="K67" s="489">
        <f t="shared" si="19"/>
        <v>10</v>
      </c>
      <c r="L67" s="489">
        <f t="shared" si="19"/>
        <v>10</v>
      </c>
      <c r="M67" s="489">
        <f t="shared" si="19"/>
        <v>10</v>
      </c>
      <c r="N67" s="489">
        <f t="shared" si="19"/>
        <v>10</v>
      </c>
      <c r="O67" s="489">
        <f t="shared" si="18"/>
        <v>10</v>
      </c>
      <c r="P67" s="1"/>
      <c r="Q67" s="1"/>
      <c r="R67" s="1"/>
      <c r="S67" s="1"/>
      <c r="T67" s="1"/>
      <c r="U67" s="1"/>
      <c r="V67" s="1"/>
      <c r="W67" s="1"/>
      <c r="X67" s="1"/>
      <c r="Y67" s="1"/>
      <c r="Z67" s="1"/>
      <c r="AA67" s="1"/>
      <c r="AB67" s="1"/>
      <c r="AC67" s="1"/>
      <c r="AD67" s="1"/>
      <c r="AE67" s="1"/>
    </row>
    <row r="68" spans="1:31" ht="14.4" customHeight="1">
      <c r="A68" s="11"/>
      <c r="B68" s="469" t="s">
        <v>322</v>
      </c>
      <c r="C68" s="260"/>
      <c r="D68" s="261"/>
      <c r="E68" s="262"/>
      <c r="F68" s="262"/>
      <c r="G68" s="262"/>
      <c r="H68" s="262"/>
      <c r="I68" s="262"/>
      <c r="J68" s="262"/>
      <c r="K68" s="262"/>
      <c r="L68" s="263"/>
      <c r="M68" s="151"/>
      <c r="N68" s="1"/>
      <c r="O68" s="1"/>
      <c r="P68" s="1"/>
      <c r="Q68" s="1"/>
      <c r="R68" s="1"/>
      <c r="S68" s="1"/>
      <c r="T68" s="1"/>
      <c r="U68" s="1"/>
      <c r="V68" s="1"/>
      <c r="W68" s="1"/>
      <c r="X68" s="1"/>
      <c r="Y68" s="1"/>
      <c r="Z68" s="1"/>
      <c r="AA68" s="1"/>
      <c r="AB68" s="1"/>
      <c r="AC68" s="1"/>
      <c r="AD68" s="1"/>
      <c r="AE68" s="1"/>
    </row>
    <row r="69" spans="1:31" ht="14.4" customHeight="1">
      <c r="A69" s="11"/>
      <c r="B69" s="470" t="s">
        <v>299</v>
      </c>
      <c r="C69" s="470" t="s">
        <v>79</v>
      </c>
      <c r="D69" s="487" t="s">
        <v>80</v>
      </c>
      <c r="E69" s="487" t="s">
        <v>81</v>
      </c>
      <c r="F69" s="487" t="s">
        <v>82</v>
      </c>
      <c r="G69" s="487" t="s">
        <v>83</v>
      </c>
      <c r="H69" s="487" t="s">
        <v>84</v>
      </c>
      <c r="I69" s="487" t="s">
        <v>85</v>
      </c>
      <c r="J69" s="487" t="s">
        <v>86</v>
      </c>
      <c r="K69" s="487" t="s">
        <v>87</v>
      </c>
      <c r="L69" s="487" t="s">
        <v>88</v>
      </c>
      <c r="M69" s="470" t="s">
        <v>89</v>
      </c>
      <c r="N69" s="470" t="s">
        <v>90</v>
      </c>
      <c r="O69" s="470" t="s">
        <v>248</v>
      </c>
      <c r="P69" s="1"/>
      <c r="Q69" s="1"/>
      <c r="R69" s="1"/>
      <c r="S69" s="1"/>
      <c r="T69" s="1"/>
      <c r="U69" s="1"/>
      <c r="V69" s="1"/>
      <c r="W69" s="1"/>
      <c r="X69" s="1"/>
      <c r="Y69" s="1"/>
      <c r="Z69" s="1"/>
      <c r="AA69" s="1"/>
      <c r="AB69" s="1"/>
      <c r="AC69" s="1"/>
      <c r="AD69" s="1"/>
      <c r="AE69" s="1"/>
    </row>
    <row r="70" spans="1:31" ht="14.4" customHeight="1">
      <c r="A70" s="11"/>
      <c r="B70" s="474" t="s">
        <v>311</v>
      </c>
      <c r="C70" s="473">
        <f t="shared" ref="C70:N70" si="20">C62*$L$16</f>
        <v>2439.8000000000002</v>
      </c>
      <c r="D70" s="473">
        <f t="shared" si="20"/>
        <v>2439.8000000000002</v>
      </c>
      <c r="E70" s="473">
        <f t="shared" si="20"/>
        <v>2439.8000000000002</v>
      </c>
      <c r="F70" s="473">
        <f t="shared" si="20"/>
        <v>2439.8000000000002</v>
      </c>
      <c r="G70" s="473">
        <f t="shared" si="20"/>
        <v>2439.8000000000002</v>
      </c>
      <c r="H70" s="473">
        <f t="shared" si="20"/>
        <v>2439.8000000000002</v>
      </c>
      <c r="I70" s="473">
        <f t="shared" si="20"/>
        <v>2439.8000000000002</v>
      </c>
      <c r="J70" s="473">
        <f t="shared" si="20"/>
        <v>2439.8000000000002</v>
      </c>
      <c r="K70" s="473">
        <f t="shared" si="20"/>
        <v>2439.8000000000002</v>
      </c>
      <c r="L70" s="473">
        <f t="shared" si="20"/>
        <v>2439.8000000000002</v>
      </c>
      <c r="M70" s="473">
        <f t="shared" si="20"/>
        <v>2439.8000000000002</v>
      </c>
      <c r="N70" s="473">
        <f t="shared" si="20"/>
        <v>2439.8000000000002</v>
      </c>
      <c r="O70" s="475">
        <f t="shared" ref="O70:O75" si="21">SUM(C70:N70)</f>
        <v>29277.599999999995</v>
      </c>
      <c r="P70" s="1"/>
      <c r="Q70" s="1"/>
      <c r="R70" s="1"/>
      <c r="S70" s="1"/>
      <c r="T70" s="1"/>
      <c r="U70" s="1"/>
      <c r="V70" s="1"/>
      <c r="W70" s="1"/>
      <c r="X70" s="1"/>
      <c r="Y70" s="1"/>
      <c r="Z70" s="1"/>
      <c r="AA70" s="1"/>
      <c r="AB70" s="1"/>
      <c r="AC70" s="1"/>
      <c r="AD70" s="1"/>
      <c r="AE70" s="1"/>
    </row>
    <row r="71" spans="1:31" ht="14.4" customHeight="1">
      <c r="A71" s="11"/>
      <c r="B71" s="474" t="s">
        <v>312</v>
      </c>
      <c r="C71" s="473">
        <f t="shared" ref="C71:N71" si="22">C63*$L$17</f>
        <v>2439.8000000000002</v>
      </c>
      <c r="D71" s="473">
        <f t="shared" si="22"/>
        <v>2439.8000000000002</v>
      </c>
      <c r="E71" s="473">
        <f t="shared" si="22"/>
        <v>2439.8000000000002</v>
      </c>
      <c r="F71" s="473">
        <f t="shared" si="22"/>
        <v>2439.8000000000002</v>
      </c>
      <c r="G71" s="473">
        <f t="shared" si="22"/>
        <v>2439.8000000000002</v>
      </c>
      <c r="H71" s="473">
        <f t="shared" si="22"/>
        <v>2439.8000000000002</v>
      </c>
      <c r="I71" s="473">
        <f t="shared" si="22"/>
        <v>2439.8000000000002</v>
      </c>
      <c r="J71" s="473">
        <f t="shared" si="22"/>
        <v>2439.8000000000002</v>
      </c>
      <c r="K71" s="473">
        <f t="shared" si="22"/>
        <v>2439.8000000000002</v>
      </c>
      <c r="L71" s="473">
        <f t="shared" si="22"/>
        <v>2439.8000000000002</v>
      </c>
      <c r="M71" s="473">
        <f t="shared" si="22"/>
        <v>2439.8000000000002</v>
      </c>
      <c r="N71" s="473">
        <f t="shared" si="22"/>
        <v>2439.8000000000002</v>
      </c>
      <c r="O71" s="475">
        <f t="shared" si="21"/>
        <v>29277.599999999995</v>
      </c>
      <c r="P71" s="1"/>
      <c r="Q71" s="1"/>
      <c r="R71" s="1"/>
      <c r="S71" s="1"/>
      <c r="T71" s="1"/>
      <c r="U71" s="1"/>
      <c r="V71" s="1"/>
      <c r="W71" s="1"/>
      <c r="X71" s="1"/>
      <c r="Y71" s="1"/>
      <c r="Z71" s="1"/>
      <c r="AA71" s="1"/>
      <c r="AB71" s="1"/>
      <c r="AC71" s="1"/>
      <c r="AD71" s="1"/>
      <c r="AE71" s="1"/>
    </row>
    <row r="72" spans="1:31" ht="14.4" customHeight="1">
      <c r="A72" s="1"/>
      <c r="B72" s="474" t="s">
        <v>103</v>
      </c>
      <c r="C72" s="473">
        <f t="shared" ref="C72:N72" si="23">C64*$L$18</f>
        <v>2195.94</v>
      </c>
      <c r="D72" s="473">
        <f t="shared" si="23"/>
        <v>2195.94</v>
      </c>
      <c r="E72" s="473">
        <f t="shared" si="23"/>
        <v>2195.94</v>
      </c>
      <c r="F72" s="473">
        <f t="shared" si="23"/>
        <v>2195.94</v>
      </c>
      <c r="G72" s="473">
        <f t="shared" si="23"/>
        <v>2195.94</v>
      </c>
      <c r="H72" s="473">
        <f t="shared" si="23"/>
        <v>2195.94</v>
      </c>
      <c r="I72" s="473">
        <f t="shared" si="23"/>
        <v>2195.94</v>
      </c>
      <c r="J72" s="473">
        <f t="shared" si="23"/>
        <v>2195.94</v>
      </c>
      <c r="K72" s="473">
        <f t="shared" si="23"/>
        <v>2195.94</v>
      </c>
      <c r="L72" s="473">
        <f t="shared" si="23"/>
        <v>2195.94</v>
      </c>
      <c r="M72" s="473">
        <f t="shared" si="23"/>
        <v>2195.94</v>
      </c>
      <c r="N72" s="473">
        <f t="shared" si="23"/>
        <v>2195.94</v>
      </c>
      <c r="O72" s="475">
        <f t="shared" si="21"/>
        <v>26351.279999999995</v>
      </c>
      <c r="P72" s="1"/>
      <c r="Q72" s="1"/>
      <c r="R72" s="1"/>
      <c r="S72" s="1"/>
      <c r="T72" s="1"/>
      <c r="U72" s="1"/>
      <c r="V72" s="1"/>
      <c r="W72" s="1"/>
      <c r="X72" s="1"/>
      <c r="Y72" s="1"/>
      <c r="Z72" s="1"/>
      <c r="AA72" s="1"/>
      <c r="AB72" s="1"/>
      <c r="AC72" s="1"/>
      <c r="AD72" s="1"/>
      <c r="AE72" s="1"/>
    </row>
    <row r="73" spans="1:31" ht="14.4" customHeight="1">
      <c r="A73" s="1"/>
      <c r="B73" s="474" t="s">
        <v>104</v>
      </c>
      <c r="C73" s="473">
        <f t="shared" ref="C73:N73" si="24">C65*$L$19</f>
        <v>2684.86</v>
      </c>
      <c r="D73" s="473">
        <f t="shared" si="24"/>
        <v>4027.29</v>
      </c>
      <c r="E73" s="473">
        <f t="shared" si="24"/>
        <v>4027.29</v>
      </c>
      <c r="F73" s="473">
        <f t="shared" si="24"/>
        <v>4027.29</v>
      </c>
      <c r="G73" s="473">
        <f t="shared" si="24"/>
        <v>4027.29</v>
      </c>
      <c r="H73" s="473">
        <f t="shared" si="24"/>
        <v>4027.29</v>
      </c>
      <c r="I73" s="473">
        <f t="shared" si="24"/>
        <v>4027.29</v>
      </c>
      <c r="J73" s="473">
        <f t="shared" si="24"/>
        <v>4027.29</v>
      </c>
      <c r="K73" s="473">
        <f t="shared" si="24"/>
        <v>4027.29</v>
      </c>
      <c r="L73" s="473">
        <f t="shared" si="24"/>
        <v>4027.29</v>
      </c>
      <c r="M73" s="473">
        <f t="shared" si="24"/>
        <v>4027.29</v>
      </c>
      <c r="N73" s="473">
        <f t="shared" si="24"/>
        <v>4027.29</v>
      </c>
      <c r="O73" s="475">
        <f t="shared" si="21"/>
        <v>46985.05</v>
      </c>
      <c r="P73" s="1"/>
      <c r="Q73" s="1"/>
      <c r="R73" s="1"/>
      <c r="S73" s="1"/>
      <c r="T73" s="1"/>
      <c r="U73" s="1"/>
      <c r="V73" s="1"/>
      <c r="W73" s="1"/>
      <c r="X73" s="1"/>
      <c r="Y73" s="1"/>
      <c r="Z73" s="1"/>
      <c r="AA73" s="1"/>
      <c r="AB73" s="1"/>
      <c r="AC73" s="1"/>
      <c r="AD73" s="1"/>
      <c r="AE73" s="1"/>
    </row>
    <row r="74" spans="1:31" ht="14.4" customHeight="1">
      <c r="A74" s="1"/>
      <c r="B74" s="474" t="s">
        <v>105</v>
      </c>
      <c r="C74" s="473">
        <f t="shared" ref="C74:N74" si="25">C66*$L$20</f>
        <v>3661.5</v>
      </c>
      <c r="D74" s="473">
        <f t="shared" si="25"/>
        <v>3661.5</v>
      </c>
      <c r="E74" s="473">
        <f t="shared" si="25"/>
        <v>3661.5</v>
      </c>
      <c r="F74" s="473">
        <f t="shared" si="25"/>
        <v>3661.5</v>
      </c>
      <c r="G74" s="473">
        <f t="shared" si="25"/>
        <v>3661.5</v>
      </c>
      <c r="H74" s="473">
        <f t="shared" si="25"/>
        <v>3661.5</v>
      </c>
      <c r="I74" s="473">
        <f t="shared" si="25"/>
        <v>4882</v>
      </c>
      <c r="J74" s="473">
        <f t="shared" si="25"/>
        <v>4882</v>
      </c>
      <c r="K74" s="473">
        <f t="shared" si="25"/>
        <v>4882</v>
      </c>
      <c r="L74" s="473">
        <f t="shared" si="25"/>
        <v>4882</v>
      </c>
      <c r="M74" s="473">
        <f t="shared" si="25"/>
        <v>4882</v>
      </c>
      <c r="N74" s="473">
        <f t="shared" si="25"/>
        <v>4882</v>
      </c>
      <c r="O74" s="475">
        <f t="shared" si="21"/>
        <v>51261</v>
      </c>
      <c r="P74" s="1"/>
      <c r="Q74" s="1"/>
      <c r="R74" s="1"/>
      <c r="S74" s="1"/>
      <c r="T74" s="1"/>
      <c r="U74" s="1"/>
      <c r="V74" s="1"/>
      <c r="W74" s="1"/>
      <c r="X74" s="1"/>
      <c r="Y74" s="1"/>
      <c r="Z74" s="1"/>
      <c r="AA74" s="1"/>
      <c r="AB74" s="1"/>
      <c r="AC74" s="1"/>
      <c r="AD74" s="1"/>
      <c r="AE74" s="1"/>
    </row>
    <row r="75" spans="1:31" ht="25.95" customHeight="1">
      <c r="A75" s="1"/>
      <c r="B75" s="477" t="s">
        <v>273</v>
      </c>
      <c r="C75" s="479">
        <f t="shared" ref="C75:N75" si="26">SUM(C70:C74)</f>
        <v>13421.900000000001</v>
      </c>
      <c r="D75" s="479">
        <f t="shared" si="26"/>
        <v>14764.330000000002</v>
      </c>
      <c r="E75" s="479">
        <f t="shared" si="26"/>
        <v>14764.330000000002</v>
      </c>
      <c r="F75" s="479">
        <f t="shared" si="26"/>
        <v>14764.330000000002</v>
      </c>
      <c r="G75" s="479">
        <f t="shared" si="26"/>
        <v>14764.330000000002</v>
      </c>
      <c r="H75" s="479">
        <f t="shared" si="26"/>
        <v>14764.330000000002</v>
      </c>
      <c r="I75" s="479">
        <f t="shared" si="26"/>
        <v>15984.830000000002</v>
      </c>
      <c r="J75" s="479">
        <f t="shared" si="26"/>
        <v>15984.830000000002</v>
      </c>
      <c r="K75" s="479">
        <f t="shared" si="26"/>
        <v>15984.830000000002</v>
      </c>
      <c r="L75" s="479">
        <f t="shared" si="26"/>
        <v>15984.830000000002</v>
      </c>
      <c r="M75" s="479">
        <f t="shared" si="26"/>
        <v>15984.830000000002</v>
      </c>
      <c r="N75" s="479">
        <f t="shared" si="26"/>
        <v>15984.830000000002</v>
      </c>
      <c r="O75" s="479">
        <f t="shared" si="21"/>
        <v>183152.53000000003</v>
      </c>
      <c r="AB75" s="1"/>
      <c r="AC75" s="1"/>
      <c r="AD75" s="1"/>
      <c r="AE75" s="1"/>
    </row>
    <row r="76" spans="1:31" ht="15.6" customHeight="1">
      <c r="A76" s="1"/>
      <c r="B76" s="452"/>
      <c r="C76" s="453"/>
      <c r="E76" s="453"/>
      <c r="G76" s="453"/>
      <c r="I76" s="453"/>
      <c r="K76" s="453"/>
      <c r="M76" s="453"/>
      <c r="O76" s="453"/>
      <c r="Q76" s="759"/>
      <c r="R76" s="630"/>
      <c r="S76" s="759"/>
      <c r="T76" s="630"/>
      <c r="U76" s="759"/>
      <c r="V76" s="630"/>
      <c r="W76" s="759"/>
      <c r="X76" s="630"/>
      <c r="Y76" s="759"/>
      <c r="Z76" s="630"/>
      <c r="AA76" s="762"/>
      <c r="AB76" s="1"/>
      <c r="AC76" s="1"/>
      <c r="AD76" s="1"/>
      <c r="AE76" s="1"/>
    </row>
    <row r="77" spans="1:31" ht="15.6" customHeight="1">
      <c r="A77" s="1"/>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c r="AA77" s="763"/>
      <c r="AB77" s="1"/>
      <c r="AC77" s="1"/>
      <c r="AD77" s="1"/>
      <c r="AE77" s="1"/>
    </row>
    <row r="78" spans="1:31" ht="14.4" customHeight="1">
      <c r="A78" s="1"/>
      <c r="B78" s="274"/>
      <c r="C78" s="275"/>
      <c r="D78" s="276"/>
      <c r="E78" s="275"/>
      <c r="F78" s="276"/>
      <c r="G78" s="275"/>
      <c r="H78" s="276"/>
      <c r="I78" s="275"/>
      <c r="J78" s="276"/>
      <c r="K78" s="275"/>
      <c r="L78" s="276"/>
      <c r="M78" s="275"/>
      <c r="N78" s="276"/>
      <c r="O78" s="275"/>
      <c r="P78" s="276"/>
      <c r="Q78" s="275"/>
      <c r="R78" s="276"/>
      <c r="S78" s="275"/>
      <c r="T78" s="276"/>
      <c r="U78" s="275"/>
      <c r="V78" s="276"/>
      <c r="W78" s="275"/>
      <c r="X78" s="276"/>
      <c r="Y78" s="275"/>
      <c r="Z78" s="276"/>
      <c r="AA78" s="277"/>
      <c r="AB78" s="1"/>
      <c r="AC78" s="1"/>
      <c r="AD78" s="1"/>
      <c r="AE78" s="1"/>
    </row>
    <row r="79" spans="1:31" ht="14.4" customHeight="1">
      <c r="A79" s="1"/>
      <c r="B79" s="274"/>
      <c r="C79" s="278"/>
      <c r="D79" s="276"/>
      <c r="E79" s="275"/>
      <c r="F79" s="276"/>
      <c r="G79" s="275"/>
      <c r="H79" s="276"/>
      <c r="I79" s="275"/>
      <c r="J79" s="276"/>
      <c r="K79" s="275"/>
      <c r="L79" s="276"/>
      <c r="M79" s="275"/>
      <c r="N79" s="276"/>
      <c r="O79" s="275"/>
      <c r="P79" s="276"/>
      <c r="Q79" s="275"/>
      <c r="R79" s="276"/>
      <c r="S79" s="275"/>
      <c r="T79" s="276"/>
      <c r="U79" s="275"/>
      <c r="V79" s="276"/>
      <c r="W79" s="275"/>
      <c r="X79" s="276"/>
      <c r="Y79" s="275"/>
      <c r="Z79" s="276"/>
      <c r="AA79" s="277"/>
      <c r="AB79" s="1"/>
      <c r="AC79" s="1"/>
      <c r="AD79" s="1"/>
      <c r="AE79" s="1"/>
    </row>
    <row r="80" spans="1:31" ht="14.4" customHeight="1">
      <c r="A80" s="1"/>
      <c r="B80" s="274"/>
      <c r="C80" s="275"/>
      <c r="D80" s="276"/>
      <c r="E80" s="275"/>
      <c r="F80" s="276"/>
      <c r="G80" s="275"/>
      <c r="H80" s="276"/>
      <c r="I80" s="275"/>
      <c r="J80" s="276"/>
      <c r="K80" s="275"/>
      <c r="L80" s="276"/>
      <c r="M80" s="275"/>
      <c r="N80" s="276"/>
      <c r="O80" s="275"/>
      <c r="P80" s="276"/>
      <c r="Q80" s="275"/>
      <c r="R80" s="276"/>
      <c r="S80" s="275"/>
      <c r="T80" s="276"/>
      <c r="U80" s="275"/>
      <c r="V80" s="276"/>
      <c r="W80" s="275"/>
      <c r="X80" s="276"/>
      <c r="Y80" s="275"/>
      <c r="Z80" s="276"/>
      <c r="AA80" s="277"/>
      <c r="AB80" s="1"/>
      <c r="AC80" s="1"/>
      <c r="AD80" s="1"/>
      <c r="AE80" s="1"/>
    </row>
    <row r="81" spans="1:31" ht="14.4" customHeight="1">
      <c r="A81" s="1"/>
      <c r="B81" s="274"/>
      <c r="C81" s="275"/>
      <c r="D81" s="276"/>
      <c r="E81" s="275"/>
      <c r="F81" s="276"/>
      <c r="G81" s="275"/>
      <c r="H81" s="276"/>
      <c r="I81" s="275"/>
      <c r="J81" s="276"/>
      <c r="K81" s="275"/>
      <c r="L81" s="276"/>
      <c r="M81" s="275"/>
      <c r="N81" s="276"/>
      <c r="O81" s="275"/>
      <c r="P81" s="276"/>
      <c r="Q81" s="275"/>
      <c r="R81" s="276"/>
      <c r="S81" s="275"/>
      <c r="T81" s="276"/>
      <c r="U81" s="275"/>
      <c r="V81" s="276"/>
      <c r="W81" s="275"/>
      <c r="X81" s="276"/>
      <c r="Y81" s="275"/>
      <c r="Z81" s="276"/>
      <c r="AA81" s="277"/>
      <c r="AB81" s="1"/>
      <c r="AC81" s="1"/>
      <c r="AD81" s="1"/>
      <c r="AE81" s="1"/>
    </row>
    <row r="82" spans="1:31" ht="14.4" customHeight="1">
      <c r="A82" s="1"/>
      <c r="B82" s="274"/>
      <c r="C82" s="275"/>
      <c r="D82" s="276"/>
      <c r="E82" s="275"/>
      <c r="F82" s="276"/>
      <c r="G82" s="275"/>
      <c r="H82" s="276"/>
      <c r="I82" s="275"/>
      <c r="J82" s="276"/>
      <c r="K82" s="275"/>
      <c r="L82" s="276"/>
      <c r="M82" s="275"/>
      <c r="N82" s="276"/>
      <c r="O82" s="275"/>
      <c r="P82" s="276"/>
      <c r="Q82" s="275"/>
      <c r="R82" s="276"/>
      <c r="S82" s="275"/>
      <c r="T82" s="276"/>
      <c r="U82" s="275"/>
      <c r="V82" s="276"/>
      <c r="W82" s="275"/>
      <c r="X82" s="276"/>
      <c r="Y82" s="275"/>
      <c r="Z82" s="276"/>
      <c r="AA82" s="277"/>
      <c r="AB82" s="1"/>
      <c r="AC82" s="1"/>
      <c r="AD82" s="1"/>
      <c r="AE82" s="1"/>
    </row>
    <row r="83" spans="1:31" ht="14.4" customHeight="1">
      <c r="A83" s="1"/>
      <c r="B83" s="274"/>
      <c r="C83" s="275"/>
      <c r="D83" s="276"/>
      <c r="E83" s="275"/>
      <c r="F83" s="276"/>
      <c r="G83" s="275"/>
      <c r="H83" s="276"/>
      <c r="I83" s="275"/>
      <c r="J83" s="276"/>
      <c r="K83" s="275"/>
      <c r="L83" s="276"/>
      <c r="M83" s="275"/>
      <c r="N83" s="276"/>
      <c r="O83" s="275"/>
      <c r="P83" s="276"/>
      <c r="Q83" s="275"/>
      <c r="R83" s="276"/>
      <c r="S83" s="275"/>
      <c r="T83" s="276"/>
      <c r="U83" s="275"/>
      <c r="V83" s="276"/>
      <c r="W83" s="275"/>
      <c r="X83" s="276"/>
      <c r="Y83" s="275"/>
      <c r="Z83" s="276"/>
      <c r="AA83" s="277"/>
      <c r="AB83" s="1"/>
      <c r="AC83" s="1"/>
      <c r="AD83" s="1"/>
      <c r="AE83" s="1"/>
    </row>
    <row r="84" spans="1:31" ht="14.4" customHeight="1">
      <c r="A84" s="1"/>
      <c r="B84" s="274"/>
      <c r="C84" s="275"/>
      <c r="D84" s="276"/>
      <c r="E84" s="275"/>
      <c r="F84" s="276"/>
      <c r="G84" s="275"/>
      <c r="H84" s="276"/>
      <c r="I84" s="275"/>
      <c r="J84" s="276"/>
      <c r="K84" s="275"/>
      <c r="L84" s="276"/>
      <c r="M84" s="275"/>
      <c r="N84" s="276"/>
      <c r="O84" s="275"/>
      <c r="P84" s="276"/>
      <c r="Q84" s="275"/>
      <c r="R84" s="276"/>
      <c r="S84" s="275"/>
      <c r="T84" s="276"/>
      <c r="U84" s="275"/>
      <c r="V84" s="276"/>
      <c r="W84" s="275"/>
      <c r="X84" s="276"/>
      <c r="Y84" s="275"/>
      <c r="Z84" s="276"/>
      <c r="AA84" s="277"/>
      <c r="AB84" s="1"/>
      <c r="AC84" s="1"/>
      <c r="AD84" s="1"/>
      <c r="AE84" s="1"/>
    </row>
    <row r="85" spans="1:31" ht="14.4" customHeight="1">
      <c r="A85" s="1"/>
      <c r="B85" s="274"/>
      <c r="C85" s="275"/>
      <c r="D85" s="276"/>
      <c r="E85" s="275"/>
      <c r="F85" s="276"/>
      <c r="G85" s="275"/>
      <c r="H85" s="276"/>
      <c r="I85" s="275"/>
      <c r="J85" s="276"/>
      <c r="K85" s="275"/>
      <c r="L85" s="276"/>
      <c r="M85" s="275"/>
      <c r="N85" s="276"/>
      <c r="O85" s="275"/>
      <c r="P85" s="276"/>
      <c r="Q85" s="275"/>
      <c r="R85" s="276"/>
      <c r="S85" s="275"/>
      <c r="T85" s="276"/>
      <c r="U85" s="275"/>
      <c r="V85" s="276"/>
      <c r="W85" s="275"/>
      <c r="X85" s="276"/>
      <c r="Y85" s="275"/>
      <c r="Z85" s="276"/>
      <c r="AA85" s="277"/>
      <c r="AB85" s="1"/>
      <c r="AC85" s="1"/>
      <c r="AD85" s="1"/>
      <c r="AE85" s="1"/>
    </row>
    <row r="86" spans="1:31" ht="14.4" customHeight="1">
      <c r="A86" s="1"/>
      <c r="B86" s="274"/>
      <c r="C86" s="275"/>
      <c r="D86" s="276"/>
      <c r="E86" s="275"/>
      <c r="F86" s="276"/>
      <c r="G86" s="275"/>
      <c r="H86" s="276"/>
      <c r="I86" s="275"/>
      <c r="J86" s="276"/>
      <c r="K86" s="275"/>
      <c r="L86" s="276"/>
      <c r="M86" s="275"/>
      <c r="N86" s="276"/>
      <c r="O86" s="275"/>
      <c r="P86" s="276"/>
      <c r="Q86" s="275"/>
      <c r="R86" s="276"/>
      <c r="S86" s="275"/>
      <c r="T86" s="276"/>
      <c r="U86" s="275"/>
      <c r="V86" s="276"/>
      <c r="W86" s="275"/>
      <c r="X86" s="276"/>
      <c r="Y86" s="275"/>
      <c r="Z86" s="276"/>
      <c r="AA86" s="277"/>
      <c r="AB86" s="1"/>
      <c r="AC86" s="1"/>
      <c r="AD86" s="1"/>
      <c r="AE86" s="1"/>
    </row>
    <row r="87" spans="1:31" ht="14.4" customHeight="1">
      <c r="A87" s="1"/>
      <c r="B87" s="274"/>
      <c r="C87" s="275"/>
      <c r="D87" s="276"/>
      <c r="E87" s="275"/>
      <c r="F87" s="276"/>
      <c r="G87" s="275"/>
      <c r="H87" s="276"/>
      <c r="I87" s="275"/>
      <c r="J87" s="276"/>
      <c r="K87" s="275"/>
      <c r="L87" s="276"/>
      <c r="M87" s="275"/>
      <c r="N87" s="276"/>
      <c r="O87" s="275"/>
      <c r="P87" s="276"/>
      <c r="Q87" s="275"/>
      <c r="R87" s="276"/>
      <c r="S87" s="275"/>
      <c r="T87" s="276"/>
      <c r="U87" s="275"/>
      <c r="V87" s="276"/>
      <c r="W87" s="275"/>
      <c r="X87" s="276"/>
      <c r="Y87" s="275"/>
      <c r="Z87" s="276"/>
      <c r="AA87" s="277"/>
      <c r="AB87" s="1"/>
      <c r="AC87" s="1"/>
      <c r="AD87" s="1"/>
      <c r="AE87" s="1"/>
    </row>
    <row r="88" spans="1:31" ht="14.4" customHeight="1">
      <c r="A88" s="1"/>
      <c r="B88" s="274"/>
      <c r="C88" s="275"/>
      <c r="D88" s="276"/>
      <c r="E88" s="275"/>
      <c r="F88" s="276"/>
      <c r="G88" s="275"/>
      <c r="H88" s="276"/>
      <c r="I88" s="275"/>
      <c r="J88" s="276"/>
      <c r="K88" s="275"/>
      <c r="L88" s="276"/>
      <c r="M88" s="275"/>
      <c r="N88" s="276"/>
      <c r="O88" s="275"/>
      <c r="P88" s="276"/>
      <c r="Q88" s="275"/>
      <c r="R88" s="276"/>
      <c r="S88" s="275"/>
      <c r="T88" s="276"/>
      <c r="U88" s="275"/>
      <c r="V88" s="276"/>
      <c r="W88" s="275"/>
      <c r="X88" s="276"/>
      <c r="Y88" s="275"/>
      <c r="Z88" s="276"/>
      <c r="AA88" s="277"/>
      <c r="AB88" s="1"/>
      <c r="AC88" s="1"/>
      <c r="AD88" s="1"/>
      <c r="AE88" s="1"/>
    </row>
    <row r="89" spans="1:31" ht="14.4" customHeight="1">
      <c r="A89" s="1"/>
      <c r="B89" s="274"/>
      <c r="C89" s="275"/>
      <c r="D89" s="276"/>
      <c r="E89" s="275"/>
      <c r="F89" s="276"/>
      <c r="G89" s="275"/>
      <c r="H89" s="276"/>
      <c r="I89" s="275"/>
      <c r="J89" s="276"/>
      <c r="K89" s="275"/>
      <c r="L89" s="276"/>
      <c r="M89" s="275"/>
      <c r="N89" s="276"/>
      <c r="O89" s="275"/>
      <c r="P89" s="276"/>
      <c r="Q89" s="275"/>
      <c r="R89" s="276"/>
      <c r="S89" s="275"/>
      <c r="T89" s="276"/>
      <c r="U89" s="275"/>
      <c r="V89" s="276"/>
      <c r="W89" s="275"/>
      <c r="X89" s="276"/>
      <c r="Y89" s="275"/>
      <c r="Z89" s="276"/>
      <c r="AA89" s="277"/>
      <c r="AB89" s="1"/>
      <c r="AC89" s="1"/>
      <c r="AD89" s="1"/>
      <c r="AE89" s="1"/>
    </row>
    <row r="90" spans="1:31" ht="14.4" customHeight="1">
      <c r="A90" s="1"/>
      <c r="B90" s="274"/>
      <c r="C90" s="275"/>
      <c r="D90" s="276"/>
      <c r="E90" s="275"/>
      <c r="F90" s="276"/>
      <c r="G90" s="275"/>
      <c r="H90" s="276"/>
      <c r="I90" s="275"/>
      <c r="J90" s="276"/>
      <c r="K90" s="275"/>
      <c r="L90" s="276"/>
      <c r="M90" s="275"/>
      <c r="N90" s="276"/>
      <c r="O90" s="275"/>
      <c r="P90" s="276"/>
      <c r="Q90" s="275"/>
      <c r="R90" s="276"/>
      <c r="S90" s="275"/>
      <c r="T90" s="276"/>
      <c r="U90" s="275"/>
      <c r="V90" s="276"/>
      <c r="W90" s="275"/>
      <c r="X90" s="276"/>
      <c r="Y90" s="275"/>
      <c r="Z90" s="276"/>
      <c r="AA90" s="277"/>
      <c r="AB90" s="1"/>
      <c r="AC90" s="1"/>
      <c r="AD90" s="1"/>
      <c r="AE90" s="1"/>
    </row>
    <row r="91" spans="1:31" ht="14.4" customHeight="1">
      <c r="A91" s="1"/>
      <c r="B91" s="274"/>
      <c r="C91" s="275"/>
      <c r="D91" s="276"/>
      <c r="E91" s="275"/>
      <c r="F91" s="276"/>
      <c r="G91" s="275"/>
      <c r="H91" s="276"/>
      <c r="I91" s="275"/>
      <c r="J91" s="276"/>
      <c r="K91" s="275"/>
      <c r="L91" s="276"/>
      <c r="M91" s="275"/>
      <c r="N91" s="276"/>
      <c r="O91" s="275"/>
      <c r="P91" s="276"/>
      <c r="Q91" s="275"/>
      <c r="R91" s="276"/>
      <c r="S91" s="275"/>
      <c r="T91" s="276"/>
      <c r="U91" s="275"/>
      <c r="V91" s="276"/>
      <c r="W91" s="275"/>
      <c r="X91" s="276"/>
      <c r="Y91" s="275"/>
      <c r="Z91" s="276"/>
      <c r="AA91" s="277"/>
      <c r="AB91" s="1"/>
      <c r="AC91" s="1"/>
      <c r="AD91" s="1"/>
      <c r="AE91" s="1"/>
    </row>
    <row r="92" spans="1:31" ht="14.4" customHeight="1">
      <c r="A92" s="1"/>
      <c r="B92" s="274"/>
      <c r="C92" s="275"/>
      <c r="D92" s="276"/>
      <c r="E92" s="275"/>
      <c r="F92" s="276"/>
      <c r="G92" s="275"/>
      <c r="H92" s="276"/>
      <c r="I92" s="275"/>
      <c r="J92" s="276"/>
      <c r="K92" s="275"/>
      <c r="L92" s="276"/>
      <c r="M92" s="275"/>
      <c r="N92" s="276"/>
      <c r="O92" s="275"/>
      <c r="P92" s="276"/>
      <c r="Q92" s="275"/>
      <c r="R92" s="276"/>
      <c r="S92" s="275"/>
      <c r="T92" s="276"/>
      <c r="U92" s="275"/>
      <c r="V92" s="276"/>
      <c r="W92" s="275"/>
      <c r="X92" s="276"/>
      <c r="Y92" s="275"/>
      <c r="Z92" s="276"/>
      <c r="AA92" s="277"/>
      <c r="AB92" s="1"/>
      <c r="AC92" s="1"/>
      <c r="AD92" s="1"/>
      <c r="AE92" s="1"/>
    </row>
    <row r="93" spans="1:31" ht="14.4" customHeight="1">
      <c r="A93" s="1"/>
      <c r="B93" s="274"/>
      <c r="C93" s="275"/>
      <c r="D93" s="276"/>
      <c r="E93" s="275"/>
      <c r="F93" s="276"/>
      <c r="G93" s="275"/>
      <c r="H93" s="276"/>
      <c r="I93" s="275"/>
      <c r="J93" s="276"/>
      <c r="K93" s="275"/>
      <c r="L93" s="276"/>
      <c r="M93" s="275"/>
      <c r="N93" s="276"/>
      <c r="O93" s="275"/>
      <c r="P93" s="276"/>
      <c r="Q93" s="275"/>
      <c r="R93" s="276"/>
      <c r="S93" s="275"/>
      <c r="T93" s="276"/>
      <c r="U93" s="275"/>
      <c r="V93" s="276"/>
      <c r="W93" s="275"/>
      <c r="X93" s="276"/>
      <c r="Y93" s="275"/>
      <c r="Z93" s="276"/>
      <c r="AA93" s="277"/>
      <c r="AB93" s="1"/>
      <c r="AC93" s="1"/>
      <c r="AD93" s="1"/>
      <c r="AE93" s="1"/>
    </row>
    <row r="94" spans="1:31" ht="14.4" customHeight="1">
      <c r="A94" s="1"/>
      <c r="B94" s="274"/>
      <c r="C94" s="275"/>
      <c r="D94" s="276"/>
      <c r="E94" s="275"/>
      <c r="F94" s="276"/>
      <c r="G94" s="275"/>
      <c r="H94" s="276"/>
      <c r="I94" s="275"/>
      <c r="J94" s="276"/>
      <c r="K94" s="275"/>
      <c r="L94" s="276"/>
      <c r="M94" s="275"/>
      <c r="N94" s="276"/>
      <c r="O94" s="275"/>
      <c r="P94" s="276"/>
      <c r="Q94" s="275"/>
      <c r="R94" s="276"/>
      <c r="S94" s="275"/>
      <c r="T94" s="276"/>
      <c r="U94" s="275"/>
      <c r="V94" s="276"/>
      <c r="W94" s="275"/>
      <c r="X94" s="276"/>
      <c r="Y94" s="275"/>
      <c r="Z94" s="276"/>
      <c r="AA94" s="277"/>
      <c r="AB94" s="1"/>
      <c r="AC94" s="1"/>
      <c r="AD94" s="1"/>
      <c r="AE94" s="1"/>
    </row>
    <row r="95" spans="1:31" ht="14.4" customHeight="1">
      <c r="A95" s="1"/>
      <c r="B95" s="274"/>
      <c r="C95" s="275"/>
      <c r="D95" s="276"/>
      <c r="E95" s="275"/>
      <c r="F95" s="276"/>
      <c r="G95" s="275"/>
      <c r="H95" s="276"/>
      <c r="I95" s="275"/>
      <c r="J95" s="276"/>
      <c r="K95" s="275"/>
      <c r="L95" s="276"/>
      <c r="M95" s="275"/>
      <c r="N95" s="276"/>
      <c r="O95" s="275"/>
      <c r="P95" s="276"/>
      <c r="Q95" s="275"/>
      <c r="R95" s="276"/>
      <c r="S95" s="275"/>
      <c r="T95" s="276"/>
      <c r="U95" s="275"/>
      <c r="V95" s="276"/>
      <c r="W95" s="275"/>
      <c r="X95" s="276"/>
      <c r="Y95" s="275"/>
      <c r="Z95" s="276"/>
      <c r="AA95" s="277"/>
      <c r="AB95" s="1"/>
      <c r="AC95" s="1"/>
      <c r="AD95" s="1"/>
      <c r="AE95" s="1"/>
    </row>
    <row r="96" spans="1:31" ht="14.4" customHeight="1">
      <c r="A96" s="1"/>
      <c r="B96" s="274"/>
      <c r="C96" s="275"/>
      <c r="D96" s="276"/>
      <c r="E96" s="275"/>
      <c r="F96" s="276"/>
      <c r="G96" s="275"/>
      <c r="H96" s="276"/>
      <c r="I96" s="275"/>
      <c r="J96" s="276"/>
      <c r="K96" s="275"/>
      <c r="L96" s="276"/>
      <c r="M96" s="275"/>
      <c r="N96" s="276"/>
      <c r="O96" s="275"/>
      <c r="P96" s="276"/>
      <c r="Q96" s="275"/>
      <c r="R96" s="276"/>
      <c r="S96" s="275"/>
      <c r="T96" s="276"/>
      <c r="U96" s="275"/>
      <c r="V96" s="276"/>
      <c r="W96" s="275"/>
      <c r="X96" s="276"/>
      <c r="Y96" s="275"/>
      <c r="Z96" s="276"/>
      <c r="AA96" s="277"/>
      <c r="AB96" s="1"/>
      <c r="AC96" s="1"/>
      <c r="AD96" s="1"/>
      <c r="AE96" s="1"/>
    </row>
    <row r="97" spans="1:31" ht="14.4" customHeight="1">
      <c r="A97" s="1"/>
      <c r="B97" s="274"/>
      <c r="C97" s="275"/>
      <c r="D97" s="276"/>
      <c r="E97" s="275"/>
      <c r="F97" s="276"/>
      <c r="G97" s="275"/>
      <c r="H97" s="276"/>
      <c r="I97" s="275"/>
      <c r="J97" s="276"/>
      <c r="K97" s="275"/>
      <c r="L97" s="276"/>
      <c r="M97" s="275"/>
      <c r="N97" s="276"/>
      <c r="O97" s="275"/>
      <c r="P97" s="276"/>
      <c r="Q97" s="275"/>
      <c r="R97" s="276"/>
      <c r="S97" s="275"/>
      <c r="T97" s="276"/>
      <c r="U97" s="275"/>
      <c r="V97" s="276"/>
      <c r="W97" s="275"/>
      <c r="X97" s="276"/>
      <c r="Y97" s="275"/>
      <c r="Z97" s="276"/>
      <c r="AA97" s="277"/>
      <c r="AB97" s="1"/>
      <c r="AC97" s="1"/>
      <c r="AD97" s="1"/>
      <c r="AE97" s="1"/>
    </row>
    <row r="98" spans="1:31" ht="14.4" customHeight="1">
      <c r="A98" s="1"/>
      <c r="B98" s="274"/>
      <c r="C98" s="275"/>
      <c r="D98" s="276"/>
      <c r="E98" s="275"/>
      <c r="F98" s="276"/>
      <c r="G98" s="275"/>
      <c r="H98" s="276"/>
      <c r="I98" s="275"/>
      <c r="J98" s="276"/>
      <c r="K98" s="275"/>
      <c r="L98" s="276"/>
      <c r="M98" s="275"/>
      <c r="N98" s="276"/>
      <c r="O98" s="275"/>
      <c r="P98" s="276"/>
      <c r="Q98" s="275"/>
      <c r="R98" s="276"/>
      <c r="S98" s="275"/>
      <c r="T98" s="276"/>
      <c r="U98" s="275"/>
      <c r="V98" s="276"/>
      <c r="W98" s="275"/>
      <c r="X98" s="276"/>
      <c r="Y98" s="275"/>
      <c r="Z98" s="276"/>
      <c r="AA98" s="277"/>
      <c r="AB98" s="1"/>
      <c r="AC98" s="1"/>
      <c r="AD98" s="1"/>
      <c r="AE98" s="1"/>
    </row>
    <row r="99" spans="1:31" ht="14.4" customHeight="1">
      <c r="A99" s="1"/>
      <c r="B99" s="274"/>
      <c r="C99" s="275"/>
      <c r="D99" s="276"/>
      <c r="E99" s="275"/>
      <c r="F99" s="276"/>
      <c r="G99" s="275"/>
      <c r="H99" s="276"/>
      <c r="I99" s="275"/>
      <c r="J99" s="276"/>
      <c r="K99" s="275"/>
      <c r="L99" s="276"/>
      <c r="M99" s="275"/>
      <c r="N99" s="276"/>
      <c r="O99" s="275"/>
      <c r="P99" s="276"/>
      <c r="Q99" s="275"/>
      <c r="R99" s="276"/>
      <c r="S99" s="275"/>
      <c r="T99" s="276"/>
      <c r="U99" s="275"/>
      <c r="V99" s="276"/>
      <c r="W99" s="275"/>
      <c r="X99" s="276"/>
      <c r="Y99" s="275"/>
      <c r="Z99" s="276"/>
      <c r="AA99" s="277"/>
      <c r="AB99" s="1"/>
      <c r="AC99" s="1"/>
      <c r="AD99" s="1"/>
      <c r="AE99" s="1"/>
    </row>
    <row r="100" spans="1:31" ht="14.4" customHeight="1">
      <c r="A100" s="1"/>
      <c r="B100" s="274"/>
      <c r="C100" s="275"/>
      <c r="D100" s="276"/>
      <c r="E100" s="275"/>
      <c r="F100" s="276"/>
      <c r="G100" s="275"/>
      <c r="H100" s="276"/>
      <c r="I100" s="275"/>
      <c r="J100" s="276"/>
      <c r="K100" s="275"/>
      <c r="L100" s="276"/>
      <c r="M100" s="275"/>
      <c r="N100" s="276"/>
      <c r="O100" s="275"/>
      <c r="P100" s="276"/>
      <c r="Q100" s="275"/>
      <c r="R100" s="276"/>
      <c r="S100" s="275"/>
      <c r="T100" s="276"/>
      <c r="U100" s="275"/>
      <c r="V100" s="276"/>
      <c r="W100" s="275"/>
      <c r="X100" s="276"/>
      <c r="Y100" s="275"/>
      <c r="Z100" s="276"/>
      <c r="AA100" s="277"/>
      <c r="AB100" s="1"/>
      <c r="AC100" s="1"/>
      <c r="AD100" s="1"/>
      <c r="AE100" s="1"/>
    </row>
    <row r="101" spans="1:31" ht="14.4" customHeight="1">
      <c r="A101" s="1"/>
      <c r="B101" s="274"/>
      <c r="C101" s="275"/>
      <c r="D101" s="276"/>
      <c r="E101" s="275"/>
      <c r="F101" s="276"/>
      <c r="G101" s="275"/>
      <c r="H101" s="276"/>
      <c r="I101" s="275"/>
      <c r="J101" s="276"/>
      <c r="K101" s="275"/>
      <c r="L101" s="276"/>
      <c r="M101" s="275"/>
      <c r="N101" s="276"/>
      <c r="O101" s="275"/>
      <c r="P101" s="276"/>
      <c r="Q101" s="275"/>
      <c r="R101" s="276"/>
      <c r="S101" s="275"/>
      <c r="T101" s="276"/>
      <c r="U101" s="275"/>
      <c r="V101" s="276"/>
      <c r="W101" s="275"/>
      <c r="X101" s="276"/>
      <c r="Y101" s="275"/>
      <c r="Z101" s="276"/>
      <c r="AA101" s="277"/>
      <c r="AB101" s="1"/>
      <c r="AC101" s="1"/>
      <c r="AD101" s="1"/>
      <c r="AE101" s="1"/>
    </row>
    <row r="102" spans="1:31" ht="14.4" customHeight="1">
      <c r="A102" s="1"/>
      <c r="B102" s="274"/>
      <c r="C102" s="275"/>
      <c r="D102" s="276"/>
      <c r="E102" s="275"/>
      <c r="F102" s="276"/>
      <c r="G102" s="275"/>
      <c r="H102" s="276"/>
      <c r="I102" s="275"/>
      <c r="J102" s="276"/>
      <c r="K102" s="275"/>
      <c r="L102" s="276"/>
      <c r="M102" s="275"/>
      <c r="N102" s="276"/>
      <c r="O102" s="275"/>
      <c r="P102" s="276"/>
      <c r="Q102" s="275"/>
      <c r="R102" s="276"/>
      <c r="S102" s="275"/>
      <c r="T102" s="276"/>
      <c r="U102" s="275"/>
      <c r="V102" s="276"/>
      <c r="W102" s="275"/>
      <c r="X102" s="276"/>
      <c r="Y102" s="275"/>
      <c r="Z102" s="276"/>
      <c r="AA102" s="277"/>
      <c r="AB102" s="1"/>
      <c r="AC102" s="1"/>
      <c r="AD102" s="1"/>
      <c r="AE102" s="1"/>
    </row>
    <row r="103" spans="1:31" ht="14.4" customHeight="1">
      <c r="A103" s="1"/>
      <c r="B103" s="274"/>
      <c r="C103" s="275"/>
      <c r="D103" s="276"/>
      <c r="E103" s="275"/>
      <c r="F103" s="276"/>
      <c r="G103" s="275"/>
      <c r="H103" s="276"/>
      <c r="I103" s="275"/>
      <c r="J103" s="276"/>
      <c r="K103" s="275"/>
      <c r="L103" s="276"/>
      <c r="M103" s="275"/>
      <c r="N103" s="276"/>
      <c r="O103" s="275"/>
      <c r="P103" s="276"/>
      <c r="Q103" s="275"/>
      <c r="R103" s="276"/>
      <c r="S103" s="275"/>
      <c r="T103" s="276"/>
      <c r="U103" s="275"/>
      <c r="V103" s="276"/>
      <c r="W103" s="275"/>
      <c r="X103" s="276"/>
      <c r="Y103" s="275"/>
      <c r="Z103" s="276"/>
      <c r="AA103" s="277"/>
      <c r="AB103" s="1"/>
      <c r="AC103" s="1"/>
      <c r="AD103" s="1"/>
      <c r="AE103" s="1"/>
    </row>
    <row r="104" spans="1:31" ht="14.4" customHeight="1">
      <c r="A104" s="1"/>
      <c r="B104" s="274"/>
      <c r="C104" s="278"/>
      <c r="D104" s="276"/>
      <c r="E104" s="275"/>
      <c r="F104" s="276"/>
      <c r="G104" s="275"/>
      <c r="H104" s="276"/>
      <c r="I104" s="275"/>
      <c r="J104" s="276"/>
      <c r="K104" s="275"/>
      <c r="L104" s="276"/>
      <c r="M104" s="275"/>
      <c r="N104" s="276"/>
      <c r="O104" s="275"/>
      <c r="P104" s="276"/>
      <c r="Q104" s="275"/>
      <c r="R104" s="276"/>
      <c r="S104" s="275"/>
      <c r="T104" s="276"/>
      <c r="U104" s="275"/>
      <c r="V104" s="276"/>
      <c r="W104" s="275"/>
      <c r="X104" s="276"/>
      <c r="Y104" s="275"/>
      <c r="Z104" s="276"/>
      <c r="AA104" s="277"/>
      <c r="AB104" s="1"/>
      <c r="AC104" s="1"/>
      <c r="AD104" s="1"/>
      <c r="AE104" s="1"/>
    </row>
    <row r="105" spans="1:31" ht="14.4" customHeight="1">
      <c r="A105" s="1"/>
      <c r="B105" s="274"/>
      <c r="C105" s="275"/>
      <c r="D105" s="276"/>
      <c r="E105" s="275"/>
      <c r="F105" s="276"/>
      <c r="G105" s="275"/>
      <c r="H105" s="276"/>
      <c r="I105" s="275"/>
      <c r="J105" s="276"/>
      <c r="K105" s="275"/>
      <c r="L105" s="276"/>
      <c r="M105" s="275"/>
      <c r="N105" s="276"/>
      <c r="O105" s="275"/>
      <c r="P105" s="276"/>
      <c r="Q105" s="275"/>
      <c r="R105" s="276"/>
      <c r="S105" s="275"/>
      <c r="T105" s="276"/>
      <c r="U105" s="275"/>
      <c r="V105" s="276"/>
      <c r="W105" s="275"/>
      <c r="X105" s="276"/>
      <c r="Y105" s="275"/>
      <c r="Z105" s="276"/>
      <c r="AA105" s="277"/>
      <c r="AB105" s="1"/>
      <c r="AC105" s="1"/>
      <c r="AD105" s="1"/>
      <c r="AE105" s="1"/>
    </row>
    <row r="106" spans="1:31" ht="14.4" customHeight="1">
      <c r="A106" s="1"/>
      <c r="B106" s="274"/>
      <c r="C106" s="275"/>
      <c r="D106" s="276"/>
      <c r="E106" s="275"/>
      <c r="F106" s="276"/>
      <c r="G106" s="275"/>
      <c r="H106" s="276"/>
      <c r="I106" s="275"/>
      <c r="J106" s="276"/>
      <c r="K106" s="275"/>
      <c r="L106" s="276"/>
      <c r="M106" s="275"/>
      <c r="N106" s="276"/>
      <c r="O106" s="275"/>
      <c r="P106" s="276"/>
      <c r="Q106" s="275"/>
      <c r="R106" s="276"/>
      <c r="S106" s="275"/>
      <c r="T106" s="276"/>
      <c r="U106" s="275"/>
      <c r="V106" s="276"/>
      <c r="W106" s="275"/>
      <c r="X106" s="276"/>
      <c r="Y106" s="275"/>
      <c r="Z106" s="276"/>
      <c r="AA106" s="277"/>
      <c r="AB106" s="1"/>
      <c r="AC106" s="1"/>
      <c r="AD106" s="1"/>
      <c r="AE106" s="1"/>
    </row>
    <row r="107" spans="1:31" ht="14.4" customHeight="1">
      <c r="A107" s="1"/>
      <c r="B107" s="274"/>
      <c r="C107" s="275"/>
      <c r="D107" s="276"/>
      <c r="E107" s="275"/>
      <c r="F107" s="276"/>
      <c r="G107" s="275"/>
      <c r="H107" s="276"/>
      <c r="I107" s="275"/>
      <c r="J107" s="276"/>
      <c r="K107" s="275"/>
      <c r="L107" s="276"/>
      <c r="M107" s="275"/>
      <c r="N107" s="276"/>
      <c r="O107" s="275"/>
      <c r="P107" s="276"/>
      <c r="Q107" s="275"/>
      <c r="R107" s="276"/>
      <c r="S107" s="275"/>
      <c r="T107" s="276"/>
      <c r="U107" s="275"/>
      <c r="V107" s="276"/>
      <c r="W107" s="275"/>
      <c r="X107" s="276"/>
      <c r="Y107" s="275"/>
      <c r="Z107" s="276"/>
      <c r="AA107" s="277"/>
      <c r="AB107" s="1"/>
      <c r="AC107" s="1"/>
      <c r="AD107" s="1"/>
      <c r="AE107" s="1"/>
    </row>
    <row r="108" spans="1:31" ht="14.4" customHeight="1">
      <c r="A108" s="1"/>
      <c r="B108" s="274"/>
      <c r="C108" s="275"/>
      <c r="D108" s="276"/>
      <c r="E108" s="275"/>
      <c r="F108" s="276"/>
      <c r="G108" s="275"/>
      <c r="H108" s="276"/>
      <c r="I108" s="275"/>
      <c r="J108" s="276"/>
      <c r="K108" s="275"/>
      <c r="L108" s="276"/>
      <c r="M108" s="275"/>
      <c r="N108" s="276"/>
      <c r="O108" s="275"/>
      <c r="P108" s="276"/>
      <c r="Q108" s="275"/>
      <c r="R108" s="276"/>
      <c r="S108" s="275"/>
      <c r="T108" s="276"/>
      <c r="U108" s="275"/>
      <c r="V108" s="276"/>
      <c r="W108" s="275"/>
      <c r="X108" s="276"/>
      <c r="Y108" s="275"/>
      <c r="Z108" s="276"/>
      <c r="AA108" s="277"/>
      <c r="AB108" s="1"/>
      <c r="AC108" s="1"/>
      <c r="AD108" s="1"/>
      <c r="AE108" s="1"/>
    </row>
    <row r="109" spans="1:31" ht="14.4" customHeight="1">
      <c r="A109" s="1"/>
      <c r="B109" s="274"/>
      <c r="C109" s="275"/>
      <c r="D109" s="276"/>
      <c r="E109" s="275"/>
      <c r="F109" s="276"/>
      <c r="G109" s="275"/>
      <c r="H109" s="276"/>
      <c r="I109" s="275"/>
      <c r="J109" s="276"/>
      <c r="K109" s="275"/>
      <c r="L109" s="276"/>
      <c r="M109" s="275"/>
      <c r="N109" s="276"/>
      <c r="O109" s="275"/>
      <c r="P109" s="276"/>
      <c r="Q109" s="275"/>
      <c r="R109" s="276"/>
      <c r="S109" s="275"/>
      <c r="T109" s="276"/>
      <c r="U109" s="275"/>
      <c r="V109" s="276"/>
      <c r="W109" s="275"/>
      <c r="X109" s="276"/>
      <c r="Y109" s="275"/>
      <c r="Z109" s="276"/>
      <c r="AA109" s="277"/>
      <c r="AB109" s="1"/>
      <c r="AC109" s="1"/>
      <c r="AD109" s="1"/>
      <c r="AE109" s="1"/>
    </row>
    <row r="110" spans="1:31" ht="14.4" customHeight="1">
      <c r="A110" s="1"/>
      <c r="B110" s="274"/>
      <c r="C110" s="275"/>
      <c r="D110" s="276"/>
      <c r="E110" s="275"/>
      <c r="F110" s="276"/>
      <c r="G110" s="275"/>
      <c r="H110" s="276"/>
      <c r="I110" s="275"/>
      <c r="J110" s="276"/>
      <c r="K110" s="275"/>
      <c r="L110" s="276"/>
      <c r="M110" s="275"/>
      <c r="N110" s="276"/>
      <c r="O110" s="275"/>
      <c r="P110" s="276"/>
      <c r="Q110" s="275"/>
      <c r="R110" s="276"/>
      <c r="S110" s="275"/>
      <c r="T110" s="276"/>
      <c r="U110" s="275"/>
      <c r="V110" s="276"/>
      <c r="W110" s="275"/>
      <c r="X110" s="276"/>
      <c r="Y110" s="275"/>
      <c r="Z110" s="276"/>
      <c r="AA110" s="277"/>
      <c r="AB110" s="1"/>
      <c r="AC110" s="1"/>
      <c r="AD110" s="1"/>
      <c r="AE110" s="1"/>
    </row>
    <row r="111" spans="1:31" ht="14.4" customHeight="1">
      <c r="A111" s="1"/>
      <c r="B111" s="274"/>
      <c r="C111" s="275"/>
      <c r="D111" s="276"/>
      <c r="E111" s="275"/>
      <c r="F111" s="276"/>
      <c r="G111" s="275"/>
      <c r="H111" s="276"/>
      <c r="I111" s="275"/>
      <c r="J111" s="276"/>
      <c r="K111" s="275"/>
      <c r="L111" s="276"/>
      <c r="M111" s="275"/>
      <c r="N111" s="276"/>
      <c r="O111" s="275"/>
      <c r="P111" s="276"/>
      <c r="Q111" s="275"/>
      <c r="R111" s="276"/>
      <c r="S111" s="275"/>
      <c r="T111" s="276"/>
      <c r="U111" s="275"/>
      <c r="V111" s="276"/>
      <c r="W111" s="275"/>
      <c r="X111" s="276"/>
      <c r="Y111" s="275"/>
      <c r="Z111" s="276"/>
      <c r="AA111" s="277"/>
      <c r="AB111" s="1"/>
      <c r="AC111" s="1"/>
      <c r="AD111" s="1"/>
      <c r="AE111" s="1"/>
    </row>
    <row r="112" spans="1:31" ht="14.4" customHeight="1">
      <c r="A112" s="1"/>
      <c r="B112" s="274"/>
      <c r="C112" s="275"/>
      <c r="D112" s="276"/>
      <c r="E112" s="275"/>
      <c r="F112" s="276"/>
      <c r="G112" s="275"/>
      <c r="H112" s="276"/>
      <c r="I112" s="275"/>
      <c r="J112" s="276"/>
      <c r="K112" s="275"/>
      <c r="L112" s="276"/>
      <c r="M112" s="275"/>
      <c r="N112" s="276"/>
      <c r="O112" s="275"/>
      <c r="P112" s="276"/>
      <c r="Q112" s="275"/>
      <c r="R112" s="276"/>
      <c r="S112" s="275"/>
      <c r="T112" s="276"/>
      <c r="U112" s="275"/>
      <c r="V112" s="276"/>
      <c r="W112" s="275"/>
      <c r="X112" s="276"/>
      <c r="Y112" s="275"/>
      <c r="Z112" s="276"/>
      <c r="AA112" s="277"/>
      <c r="AB112" s="1"/>
      <c r="AC112" s="1"/>
      <c r="AD112" s="1"/>
      <c r="AE112" s="1"/>
    </row>
    <row r="113" spans="1:31" ht="14.4" customHeight="1">
      <c r="A113" s="1"/>
      <c r="B113" s="274"/>
      <c r="C113" s="275"/>
      <c r="D113" s="276"/>
      <c r="E113" s="275"/>
      <c r="F113" s="276"/>
      <c r="G113" s="275"/>
      <c r="H113" s="276"/>
      <c r="I113" s="275"/>
      <c r="J113" s="276"/>
      <c r="K113" s="275"/>
      <c r="L113" s="276"/>
      <c r="M113" s="275"/>
      <c r="N113" s="276"/>
      <c r="O113" s="275"/>
      <c r="P113" s="276"/>
      <c r="Q113" s="275"/>
      <c r="R113" s="276"/>
      <c r="S113" s="275"/>
      <c r="T113" s="276"/>
      <c r="U113" s="275"/>
      <c r="V113" s="276"/>
      <c r="W113" s="275"/>
      <c r="X113" s="276"/>
      <c r="Y113" s="275"/>
      <c r="Z113" s="276"/>
      <c r="AA113" s="277"/>
      <c r="AB113" s="1"/>
      <c r="AC113" s="1"/>
      <c r="AD113" s="1"/>
      <c r="AE113" s="1"/>
    </row>
    <row r="114" spans="1:31" ht="14.4" customHeight="1">
      <c r="A114" s="1"/>
      <c r="B114" s="274"/>
      <c r="C114" s="275"/>
      <c r="D114" s="276"/>
      <c r="E114" s="275"/>
      <c r="F114" s="276"/>
      <c r="G114" s="275"/>
      <c r="H114" s="276"/>
      <c r="I114" s="275"/>
      <c r="J114" s="276"/>
      <c r="K114" s="275"/>
      <c r="L114" s="276"/>
      <c r="M114" s="275"/>
      <c r="N114" s="276"/>
      <c r="O114" s="275"/>
      <c r="P114" s="276"/>
      <c r="Q114" s="275"/>
      <c r="R114" s="276"/>
      <c r="S114" s="275"/>
      <c r="T114" s="276"/>
      <c r="U114" s="275"/>
      <c r="V114" s="276"/>
      <c r="W114" s="275"/>
      <c r="X114" s="276"/>
      <c r="Y114" s="275"/>
      <c r="Z114" s="276"/>
      <c r="AA114" s="277"/>
      <c r="AB114" s="1"/>
      <c r="AC114" s="1"/>
      <c r="AD114" s="1"/>
      <c r="AE114" s="1"/>
    </row>
    <row r="115" spans="1:31" ht="14.4" customHeight="1">
      <c r="A115" s="1"/>
      <c r="B115" s="274"/>
      <c r="C115" s="275"/>
      <c r="D115" s="276"/>
      <c r="E115" s="275"/>
      <c r="F115" s="276"/>
      <c r="G115" s="275"/>
      <c r="H115" s="276"/>
      <c r="I115" s="275"/>
      <c r="J115" s="276"/>
      <c r="K115" s="275"/>
      <c r="L115" s="276"/>
      <c r="M115" s="275"/>
      <c r="N115" s="276"/>
      <c r="O115" s="275"/>
      <c r="P115" s="276"/>
      <c r="Q115" s="275"/>
      <c r="R115" s="276"/>
      <c r="S115" s="275"/>
      <c r="T115" s="276"/>
      <c r="U115" s="275"/>
      <c r="V115" s="276"/>
      <c r="W115" s="275"/>
      <c r="X115" s="276"/>
      <c r="Y115" s="275"/>
      <c r="Z115" s="276"/>
      <c r="AA115" s="277"/>
      <c r="AB115" s="1"/>
      <c r="AC115" s="1"/>
      <c r="AD115" s="1"/>
      <c r="AE115" s="1"/>
    </row>
    <row r="116" spans="1:31" ht="14.4" customHeight="1">
      <c r="A116" s="1"/>
      <c r="B116" s="274"/>
      <c r="C116" s="275"/>
      <c r="D116" s="276"/>
      <c r="E116" s="275"/>
      <c r="F116" s="276"/>
      <c r="G116" s="275"/>
      <c r="H116" s="276"/>
      <c r="I116" s="275"/>
      <c r="J116" s="276"/>
      <c r="K116" s="275"/>
      <c r="L116" s="276"/>
      <c r="M116" s="275"/>
      <c r="N116" s="276"/>
      <c r="O116" s="275"/>
      <c r="P116" s="276"/>
      <c r="Q116" s="275"/>
      <c r="R116" s="276"/>
      <c r="S116" s="275"/>
      <c r="T116" s="276"/>
      <c r="U116" s="275"/>
      <c r="V116" s="276"/>
      <c r="W116" s="275"/>
      <c r="X116" s="276"/>
      <c r="Y116" s="275"/>
      <c r="Z116" s="276"/>
      <c r="AA116" s="277"/>
      <c r="AB116" s="1"/>
      <c r="AC116" s="1"/>
      <c r="AD116" s="1"/>
      <c r="AE116" s="1"/>
    </row>
    <row r="117" spans="1:31" ht="14.4" customHeight="1">
      <c r="A117" s="1"/>
      <c r="B117" s="274"/>
      <c r="C117" s="275"/>
      <c r="D117" s="276"/>
      <c r="E117" s="275"/>
      <c r="F117" s="276"/>
      <c r="G117" s="275"/>
      <c r="H117" s="276"/>
      <c r="I117" s="275"/>
      <c r="J117" s="276"/>
      <c r="K117" s="275"/>
      <c r="L117" s="276"/>
      <c r="M117" s="275"/>
      <c r="N117" s="276"/>
      <c r="O117" s="275"/>
      <c r="P117" s="276"/>
      <c r="Q117" s="275"/>
      <c r="R117" s="276"/>
      <c r="S117" s="275"/>
      <c r="T117" s="276"/>
      <c r="U117" s="275"/>
      <c r="V117" s="276"/>
      <c r="W117" s="275"/>
      <c r="X117" s="276"/>
      <c r="Y117" s="275"/>
      <c r="Z117" s="276"/>
      <c r="AA117" s="277"/>
      <c r="AB117" s="1"/>
      <c r="AC117" s="1"/>
      <c r="AD117" s="1"/>
      <c r="AE117" s="1"/>
    </row>
    <row r="118" spans="1:31" ht="14.4" customHeight="1">
      <c r="A118" s="1"/>
      <c r="B118" s="274"/>
      <c r="C118" s="275"/>
      <c r="D118" s="276"/>
      <c r="E118" s="275"/>
      <c r="F118" s="276"/>
      <c r="G118" s="275"/>
      <c r="H118" s="276"/>
      <c r="I118" s="275"/>
      <c r="J118" s="276"/>
      <c r="K118" s="275"/>
      <c r="L118" s="276"/>
      <c r="M118" s="275"/>
      <c r="N118" s="276"/>
      <c r="O118" s="275"/>
      <c r="P118" s="276"/>
      <c r="Q118" s="275"/>
      <c r="R118" s="276"/>
      <c r="S118" s="275"/>
      <c r="T118" s="276"/>
      <c r="U118" s="275"/>
      <c r="V118" s="276"/>
      <c r="W118" s="275"/>
      <c r="X118" s="276"/>
      <c r="Y118" s="275"/>
      <c r="Z118" s="276"/>
      <c r="AA118" s="277"/>
      <c r="AB118" s="1"/>
      <c r="AC118" s="1"/>
      <c r="AD118" s="1"/>
      <c r="AE118" s="1"/>
    </row>
    <row r="119" spans="1:31" ht="14.4" customHeight="1">
      <c r="A119" s="1"/>
      <c r="B119" s="274"/>
      <c r="C119" s="275"/>
      <c r="D119" s="276"/>
      <c r="E119" s="275"/>
      <c r="F119" s="276"/>
      <c r="G119" s="275"/>
      <c r="H119" s="276"/>
      <c r="I119" s="275"/>
      <c r="J119" s="276"/>
      <c r="K119" s="275"/>
      <c r="L119" s="276"/>
      <c r="M119" s="275"/>
      <c r="N119" s="276"/>
      <c r="O119" s="275"/>
      <c r="P119" s="276"/>
      <c r="Q119" s="275"/>
      <c r="R119" s="276"/>
      <c r="S119" s="275"/>
      <c r="T119" s="276"/>
      <c r="U119" s="275"/>
      <c r="V119" s="276"/>
      <c r="W119" s="275"/>
      <c r="X119" s="276"/>
      <c r="Y119" s="275"/>
      <c r="Z119" s="276"/>
      <c r="AA119" s="277"/>
      <c r="AB119" s="1"/>
      <c r="AC119" s="1"/>
      <c r="AD119" s="1"/>
      <c r="AE119" s="1"/>
    </row>
    <row r="120" spans="1:31" ht="14.4" customHeight="1">
      <c r="A120" s="1"/>
      <c r="B120" s="274"/>
      <c r="C120" s="275"/>
      <c r="D120" s="276"/>
      <c r="E120" s="275"/>
      <c r="F120" s="276"/>
      <c r="G120" s="275"/>
      <c r="H120" s="276"/>
      <c r="I120" s="275"/>
      <c r="J120" s="276"/>
      <c r="K120" s="275"/>
      <c r="L120" s="276"/>
      <c r="M120" s="275"/>
      <c r="N120" s="276"/>
      <c r="O120" s="278"/>
      <c r="P120" s="276"/>
      <c r="Q120" s="275"/>
      <c r="R120" s="276"/>
      <c r="S120" s="275"/>
      <c r="T120" s="276"/>
      <c r="U120" s="275"/>
      <c r="V120" s="276"/>
      <c r="W120" s="275"/>
      <c r="X120" s="276"/>
      <c r="Y120" s="275"/>
      <c r="Z120" s="276"/>
      <c r="AA120" s="277"/>
      <c r="AB120" s="1"/>
      <c r="AC120" s="1"/>
      <c r="AD120" s="1"/>
      <c r="AE120" s="1"/>
    </row>
    <row r="121" spans="1:31" ht="14.4" customHeight="1">
      <c r="A121" s="1"/>
      <c r="B121" s="274"/>
      <c r="C121" s="275"/>
      <c r="D121" s="276"/>
      <c r="E121" s="275"/>
      <c r="F121" s="276"/>
      <c r="G121" s="275"/>
      <c r="H121" s="276"/>
      <c r="I121" s="275"/>
      <c r="J121" s="276"/>
      <c r="K121" s="275"/>
      <c r="L121" s="276"/>
      <c r="M121" s="275"/>
      <c r="N121" s="276"/>
      <c r="O121" s="275"/>
      <c r="P121" s="276"/>
      <c r="Q121" s="275"/>
      <c r="R121" s="276"/>
      <c r="S121" s="275"/>
      <c r="T121" s="276"/>
      <c r="U121" s="275"/>
      <c r="V121" s="276"/>
      <c r="W121" s="275"/>
      <c r="X121" s="276"/>
      <c r="Y121" s="275"/>
      <c r="Z121" s="276"/>
      <c r="AA121" s="277"/>
      <c r="AB121" s="1"/>
      <c r="AC121" s="1"/>
      <c r="AD121" s="1"/>
      <c r="AE121" s="1"/>
    </row>
    <row r="122" spans="1:31" ht="14.4" customHeight="1">
      <c r="A122" s="1"/>
      <c r="B122" s="274"/>
      <c r="C122" s="275"/>
      <c r="D122" s="276"/>
      <c r="E122" s="275"/>
      <c r="F122" s="276"/>
      <c r="G122" s="275"/>
      <c r="H122" s="276"/>
      <c r="I122" s="275"/>
      <c r="J122" s="276"/>
      <c r="K122" s="275"/>
      <c r="L122" s="276"/>
      <c r="M122" s="275"/>
      <c r="N122" s="276"/>
      <c r="O122" s="275"/>
      <c r="P122" s="276"/>
      <c r="Q122" s="275"/>
      <c r="R122" s="276"/>
      <c r="S122" s="275"/>
      <c r="T122" s="276"/>
      <c r="U122" s="275"/>
      <c r="V122" s="276"/>
      <c r="W122" s="275"/>
      <c r="X122" s="276"/>
      <c r="Y122" s="275"/>
      <c r="Z122" s="276"/>
      <c r="AA122" s="277"/>
      <c r="AB122" s="1"/>
      <c r="AC122" s="1"/>
      <c r="AD122" s="1"/>
      <c r="AE122" s="1"/>
    </row>
    <row r="123" spans="1:31" ht="14.4" customHeight="1">
      <c r="A123" s="1"/>
      <c r="B123" s="274"/>
      <c r="C123" s="275"/>
      <c r="D123" s="276"/>
      <c r="E123" s="275"/>
      <c r="F123" s="276"/>
      <c r="G123" s="275"/>
      <c r="H123" s="276"/>
      <c r="I123" s="275"/>
      <c r="J123" s="276"/>
      <c r="K123" s="275"/>
      <c r="L123" s="276"/>
      <c r="M123" s="275"/>
      <c r="N123" s="276"/>
      <c r="O123" s="275"/>
      <c r="P123" s="276"/>
      <c r="Q123" s="275"/>
      <c r="R123" s="276"/>
      <c r="S123" s="275"/>
      <c r="T123" s="276"/>
      <c r="U123" s="275"/>
      <c r="V123" s="276"/>
      <c r="W123" s="275"/>
      <c r="X123" s="276"/>
      <c r="Y123" s="275"/>
      <c r="Z123" s="276"/>
      <c r="AA123" s="277"/>
      <c r="AB123" s="1"/>
      <c r="AC123" s="1"/>
      <c r="AD123" s="1"/>
      <c r="AE123" s="1"/>
    </row>
    <row r="124" spans="1:31" ht="14.4" customHeight="1">
      <c r="A124" s="1"/>
      <c r="B124" s="274"/>
      <c r="C124" s="275"/>
      <c r="D124" s="276"/>
      <c r="E124" s="275"/>
      <c r="F124" s="276"/>
      <c r="G124" s="275"/>
      <c r="H124" s="276"/>
      <c r="I124" s="275"/>
      <c r="J124" s="276"/>
      <c r="K124" s="275"/>
      <c r="L124" s="276"/>
      <c r="M124" s="275"/>
      <c r="N124" s="276"/>
      <c r="O124" s="275"/>
      <c r="P124" s="276"/>
      <c r="Q124" s="275"/>
      <c r="R124" s="276"/>
      <c r="S124" s="275"/>
      <c r="T124" s="276"/>
      <c r="U124" s="275"/>
      <c r="V124" s="276"/>
      <c r="W124" s="275"/>
      <c r="X124" s="276"/>
      <c r="Y124" s="275"/>
      <c r="Z124" s="276"/>
      <c r="AA124" s="277"/>
      <c r="AB124" s="1"/>
      <c r="AC124" s="1"/>
      <c r="AD124" s="1"/>
      <c r="AE124" s="1"/>
    </row>
    <row r="125" spans="1:31" ht="14.4" customHeight="1">
      <c r="A125" s="1"/>
      <c r="B125" s="274"/>
      <c r="C125" s="275"/>
      <c r="D125" s="276"/>
      <c r="E125" s="275"/>
      <c r="F125" s="276"/>
      <c r="G125" s="275"/>
      <c r="H125" s="276"/>
      <c r="I125" s="275"/>
      <c r="J125" s="276"/>
      <c r="K125" s="275"/>
      <c r="L125" s="276"/>
      <c r="M125" s="275"/>
      <c r="N125" s="276"/>
      <c r="O125" s="275"/>
      <c r="P125" s="276"/>
      <c r="Q125" s="275"/>
      <c r="R125" s="276"/>
      <c r="S125" s="275"/>
      <c r="T125" s="276"/>
      <c r="U125" s="275"/>
      <c r="V125" s="276"/>
      <c r="W125" s="275"/>
      <c r="X125" s="276"/>
      <c r="Y125" s="275"/>
      <c r="Z125" s="276"/>
      <c r="AA125" s="277"/>
      <c r="AB125" s="1"/>
      <c r="AC125" s="1"/>
      <c r="AD125" s="1"/>
      <c r="AE125" s="1"/>
    </row>
    <row r="126" spans="1:31" ht="14.4" customHeight="1">
      <c r="A126" s="1"/>
      <c r="B126" s="274"/>
      <c r="C126" s="275"/>
      <c r="D126" s="276"/>
      <c r="E126" s="275"/>
      <c r="F126" s="276"/>
      <c r="G126" s="275"/>
      <c r="H126" s="276"/>
      <c r="I126" s="275"/>
      <c r="J126" s="276"/>
      <c r="K126" s="275"/>
      <c r="L126" s="276"/>
      <c r="M126" s="275"/>
      <c r="N126" s="276"/>
      <c r="O126" s="275"/>
      <c r="P126" s="276"/>
      <c r="Q126" s="275"/>
      <c r="R126" s="276"/>
      <c r="S126" s="275"/>
      <c r="T126" s="276"/>
      <c r="U126" s="275"/>
      <c r="V126" s="276"/>
      <c r="W126" s="275"/>
      <c r="X126" s="276"/>
      <c r="Y126" s="275"/>
      <c r="Z126" s="276"/>
      <c r="AA126" s="277"/>
      <c r="AB126" s="1"/>
      <c r="AC126" s="1"/>
      <c r="AD126" s="1"/>
      <c r="AE126" s="1"/>
    </row>
    <row r="127" spans="1:31" ht="14.4" customHeight="1">
      <c r="A127" s="1"/>
      <c r="B127" s="274"/>
      <c r="C127" s="275"/>
      <c r="D127" s="276"/>
      <c r="E127" s="275"/>
      <c r="F127" s="276"/>
      <c r="G127" s="275"/>
      <c r="H127" s="276"/>
      <c r="I127" s="275"/>
      <c r="J127" s="276"/>
      <c r="K127" s="275"/>
      <c r="L127" s="276"/>
      <c r="M127" s="275"/>
      <c r="N127" s="276"/>
      <c r="O127" s="275"/>
      <c r="P127" s="276"/>
      <c r="Q127" s="275"/>
      <c r="R127" s="276"/>
      <c r="S127" s="275"/>
      <c r="T127" s="276"/>
      <c r="U127" s="275"/>
      <c r="V127" s="276"/>
      <c r="W127" s="275"/>
      <c r="X127" s="276"/>
      <c r="Y127" s="275"/>
      <c r="Z127" s="276"/>
      <c r="AA127" s="277"/>
      <c r="AB127" s="1"/>
      <c r="AC127" s="1"/>
      <c r="AD127" s="1"/>
      <c r="AE127" s="1"/>
    </row>
    <row r="128" spans="1:31" ht="14.4" customHeight="1">
      <c r="A128" s="1"/>
      <c r="B128" s="274"/>
      <c r="C128" s="275"/>
      <c r="D128" s="276"/>
      <c r="E128" s="275"/>
      <c r="F128" s="276"/>
      <c r="G128" s="275"/>
      <c r="H128" s="276"/>
      <c r="I128" s="275"/>
      <c r="J128" s="276"/>
      <c r="K128" s="275"/>
      <c r="L128" s="276"/>
      <c r="M128" s="275"/>
      <c r="N128" s="276"/>
      <c r="O128" s="275"/>
      <c r="P128" s="276"/>
      <c r="Q128" s="275"/>
      <c r="R128" s="276"/>
      <c r="S128" s="275"/>
      <c r="T128" s="276"/>
      <c r="U128" s="275"/>
      <c r="V128" s="276"/>
      <c r="W128" s="275"/>
      <c r="X128" s="276"/>
      <c r="Y128" s="275"/>
      <c r="Z128" s="276"/>
      <c r="AA128" s="277"/>
      <c r="AB128" s="1"/>
      <c r="AC128" s="1"/>
      <c r="AD128" s="1"/>
      <c r="AE128" s="1"/>
    </row>
    <row r="129" spans="1:31" ht="14.4" customHeight="1">
      <c r="A129" s="1"/>
      <c r="B129" s="274"/>
      <c r="C129" s="275"/>
      <c r="D129" s="276"/>
      <c r="E129" s="275"/>
      <c r="F129" s="276"/>
      <c r="G129" s="275"/>
      <c r="H129" s="276"/>
      <c r="I129" s="275"/>
      <c r="J129" s="276"/>
      <c r="K129" s="275"/>
      <c r="L129" s="276"/>
      <c r="M129" s="275"/>
      <c r="N129" s="276"/>
      <c r="O129" s="275"/>
      <c r="P129" s="276"/>
      <c r="Q129" s="275"/>
      <c r="R129" s="276"/>
      <c r="S129" s="275"/>
      <c r="T129" s="276"/>
      <c r="U129" s="275"/>
      <c r="V129" s="276"/>
      <c r="W129" s="275"/>
      <c r="X129" s="276"/>
      <c r="Y129" s="275"/>
      <c r="Z129" s="276"/>
      <c r="AA129" s="277"/>
      <c r="AB129" s="1"/>
      <c r="AC129" s="1"/>
      <c r="AD129" s="1"/>
      <c r="AE129" s="1"/>
    </row>
    <row r="130" spans="1:31" ht="14.4" customHeight="1">
      <c r="A130" s="11"/>
      <c r="B130" s="274"/>
      <c r="C130" s="275"/>
      <c r="D130" s="276"/>
      <c r="E130" s="275"/>
      <c r="F130" s="276"/>
      <c r="G130" s="275"/>
      <c r="H130" s="276"/>
      <c r="I130" s="275"/>
      <c r="J130" s="276"/>
      <c r="K130" s="275"/>
      <c r="L130" s="276"/>
      <c r="M130" s="275"/>
      <c r="N130" s="276"/>
      <c r="O130" s="275"/>
      <c r="P130" s="276"/>
      <c r="Q130" s="275"/>
      <c r="R130" s="276"/>
      <c r="S130" s="275"/>
      <c r="T130" s="276"/>
      <c r="U130" s="275"/>
      <c r="V130" s="276"/>
      <c r="W130" s="275"/>
      <c r="X130" s="276"/>
      <c r="Y130" s="275"/>
      <c r="Z130" s="276"/>
      <c r="AA130" s="277"/>
      <c r="AB130" s="1"/>
      <c r="AC130" s="1"/>
      <c r="AD130" s="1"/>
      <c r="AE130" s="1"/>
    </row>
    <row r="131" spans="1:31" ht="14.4" customHeight="1">
      <c r="A131" s="11"/>
      <c r="B131" s="274"/>
      <c r="C131" s="275"/>
      <c r="D131" s="276"/>
      <c r="E131" s="275"/>
      <c r="F131" s="276"/>
      <c r="G131" s="275"/>
      <c r="H131" s="276"/>
      <c r="I131" s="275"/>
      <c r="J131" s="276"/>
      <c r="K131" s="275"/>
      <c r="L131" s="276"/>
      <c r="M131" s="275"/>
      <c r="N131" s="276"/>
      <c r="O131" s="275"/>
      <c r="P131" s="276"/>
      <c r="Q131" s="275"/>
      <c r="R131" s="276"/>
      <c r="S131" s="275"/>
      <c r="T131" s="276"/>
      <c r="U131" s="275"/>
      <c r="V131" s="276"/>
      <c r="W131" s="275"/>
      <c r="X131" s="276"/>
      <c r="Y131" s="275"/>
      <c r="Z131" s="276"/>
      <c r="AA131" s="277"/>
      <c r="AB131" s="1"/>
      <c r="AC131" s="1"/>
      <c r="AD131" s="1"/>
      <c r="AE131" s="1"/>
    </row>
    <row r="132" spans="1:31" ht="14.4" customHeight="1">
      <c r="A132" s="11"/>
      <c r="B132" s="274"/>
      <c r="C132" s="275"/>
      <c r="D132" s="276"/>
      <c r="E132" s="275"/>
      <c r="F132" s="276"/>
      <c r="G132" s="275"/>
      <c r="H132" s="276"/>
      <c r="I132" s="275"/>
      <c r="J132" s="276"/>
      <c r="K132" s="275"/>
      <c r="L132" s="276"/>
      <c r="M132" s="275"/>
      <c r="N132" s="276"/>
      <c r="O132" s="275"/>
      <c r="P132" s="276"/>
      <c r="Q132" s="275"/>
      <c r="R132" s="276"/>
      <c r="S132" s="275"/>
      <c r="T132" s="276"/>
      <c r="U132" s="275"/>
      <c r="V132" s="276"/>
      <c r="W132" s="275"/>
      <c r="X132" s="276"/>
      <c r="Y132" s="275"/>
      <c r="Z132" s="276"/>
      <c r="AA132" s="277"/>
      <c r="AB132" s="1"/>
      <c r="AC132" s="1"/>
      <c r="AD132" s="1"/>
      <c r="AE132" s="1"/>
    </row>
    <row r="133" spans="1:31" ht="14.4" customHeight="1">
      <c r="A133" s="11"/>
      <c r="B133" s="274"/>
      <c r="C133" s="275"/>
      <c r="D133" s="276"/>
      <c r="E133" s="275"/>
      <c r="F133" s="276"/>
      <c r="G133" s="275"/>
      <c r="H133" s="276"/>
      <c r="I133" s="275"/>
      <c r="J133" s="276"/>
      <c r="K133" s="275"/>
      <c r="L133" s="276"/>
      <c r="M133" s="275"/>
      <c r="N133" s="276"/>
      <c r="O133" s="275"/>
      <c r="P133" s="276"/>
      <c r="Q133" s="275"/>
      <c r="R133" s="276"/>
      <c r="S133" s="275"/>
      <c r="T133" s="276"/>
      <c r="U133" s="275"/>
      <c r="V133" s="276"/>
      <c r="W133" s="275"/>
      <c r="X133" s="276"/>
      <c r="Y133" s="275"/>
      <c r="Z133" s="276"/>
      <c r="AA133" s="277"/>
      <c r="AB133" s="1"/>
      <c r="AC133" s="1"/>
      <c r="AD133" s="1"/>
      <c r="AE133" s="1"/>
    </row>
    <row r="134" spans="1:31" ht="15.6" customHeight="1">
      <c r="A134" s="1"/>
      <c r="B134" s="279"/>
      <c r="C134" s="280"/>
      <c r="D134" s="281"/>
      <c r="E134" s="280"/>
      <c r="F134" s="281"/>
      <c r="G134" s="280"/>
      <c r="H134" s="281"/>
      <c r="I134" s="280"/>
      <c r="J134" s="281"/>
      <c r="K134" s="280"/>
      <c r="L134" s="281"/>
      <c r="M134" s="280"/>
      <c r="N134" s="281"/>
      <c r="O134" s="280"/>
      <c r="P134" s="281"/>
      <c r="Q134" s="280"/>
      <c r="R134" s="281"/>
      <c r="S134" s="280"/>
      <c r="T134" s="281"/>
      <c r="U134" s="280"/>
      <c r="V134" s="281"/>
      <c r="W134" s="280"/>
      <c r="X134" s="281"/>
      <c r="Y134" s="280"/>
      <c r="Z134" s="281"/>
      <c r="AA134" s="282"/>
      <c r="AB134" s="1"/>
      <c r="AC134" s="1"/>
      <c r="AD134" s="1"/>
      <c r="AE134" s="1"/>
    </row>
    <row r="135" spans="1:31"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25.95" customHeight="1">
      <c r="A136" s="1"/>
      <c r="B136" s="622"/>
      <c r="C136" s="620"/>
      <c r="D136" s="620"/>
      <c r="E136" s="620"/>
      <c r="F136" s="620"/>
      <c r="G136" s="620"/>
      <c r="H136" s="620"/>
      <c r="I136" s="620"/>
      <c r="J136" s="620"/>
      <c r="K136" s="620"/>
      <c r="L136" s="620"/>
      <c r="M136" s="620"/>
      <c r="N136" s="620"/>
      <c r="O136" s="620"/>
      <c r="P136" s="620"/>
      <c r="Q136" s="620"/>
      <c r="R136" s="620"/>
      <c r="S136" s="620"/>
      <c r="T136" s="620"/>
      <c r="U136" s="620"/>
      <c r="V136" s="620"/>
      <c r="W136" s="620"/>
      <c r="X136" s="620"/>
      <c r="Y136" s="620"/>
      <c r="Z136" s="620"/>
      <c r="AA136" s="621"/>
      <c r="AB136" s="1"/>
      <c r="AC136" s="1"/>
      <c r="AD136" s="1"/>
      <c r="AE136" s="1"/>
    </row>
    <row r="137" spans="1:31" ht="15.6" customHeight="1">
      <c r="A137" s="1"/>
      <c r="B137" s="760"/>
      <c r="C137" s="759"/>
      <c r="D137" s="630"/>
      <c r="E137" s="759"/>
      <c r="F137" s="630"/>
      <c r="G137" s="759"/>
      <c r="H137" s="630"/>
      <c r="I137" s="759"/>
      <c r="J137" s="630"/>
      <c r="K137" s="759"/>
      <c r="L137" s="630"/>
      <c r="M137" s="759"/>
      <c r="N137" s="630"/>
      <c r="O137" s="759"/>
      <c r="P137" s="630"/>
      <c r="Q137" s="759"/>
      <c r="R137" s="630"/>
      <c r="S137" s="759"/>
      <c r="T137" s="630"/>
      <c r="U137" s="759"/>
      <c r="V137" s="630"/>
      <c r="W137" s="759"/>
      <c r="X137" s="630"/>
      <c r="Y137" s="759"/>
      <c r="Z137" s="630"/>
      <c r="AA137" s="762"/>
      <c r="AB137" s="1"/>
      <c r="AC137" s="1"/>
      <c r="AD137" s="1"/>
      <c r="AE137" s="1"/>
    </row>
    <row r="138" spans="1:31" ht="15.6" customHeight="1">
      <c r="A138" s="1"/>
      <c r="B138" s="761"/>
      <c r="C138" s="273"/>
      <c r="D138" s="273"/>
      <c r="E138" s="273"/>
      <c r="F138" s="273"/>
      <c r="G138" s="273"/>
      <c r="H138" s="273"/>
      <c r="I138" s="273"/>
      <c r="J138" s="273"/>
      <c r="K138" s="273"/>
      <c r="L138" s="273"/>
      <c r="M138" s="273"/>
      <c r="N138" s="273"/>
      <c r="O138" s="273"/>
      <c r="P138" s="273"/>
      <c r="Q138" s="273"/>
      <c r="R138" s="273"/>
      <c r="S138" s="273"/>
      <c r="T138" s="273"/>
      <c r="U138" s="273"/>
      <c r="V138" s="273"/>
      <c r="W138" s="273"/>
      <c r="X138" s="273"/>
      <c r="Y138" s="273"/>
      <c r="Z138" s="273"/>
      <c r="AA138" s="763"/>
      <c r="AB138" s="1"/>
      <c r="AC138" s="1"/>
      <c r="AD138" s="1"/>
      <c r="AE138" s="1"/>
    </row>
    <row r="139" spans="1:31" ht="14.4" customHeight="1">
      <c r="A139" s="1"/>
      <c r="B139" s="274"/>
      <c r="C139" s="275"/>
      <c r="D139" s="276"/>
      <c r="E139" s="275"/>
      <c r="F139" s="276"/>
      <c r="G139" s="275"/>
      <c r="H139" s="276"/>
      <c r="I139" s="275"/>
      <c r="J139" s="276"/>
      <c r="K139" s="275"/>
      <c r="L139" s="276"/>
      <c r="M139" s="275"/>
      <c r="N139" s="276"/>
      <c r="O139" s="275"/>
      <c r="P139" s="276"/>
      <c r="Q139" s="275"/>
      <c r="R139" s="276"/>
      <c r="S139" s="275"/>
      <c r="T139" s="276"/>
      <c r="U139" s="275"/>
      <c r="V139" s="276"/>
      <c r="W139" s="275"/>
      <c r="X139" s="276"/>
      <c r="Y139" s="275"/>
      <c r="Z139" s="276"/>
      <c r="AA139" s="277"/>
      <c r="AB139" s="1"/>
      <c r="AC139" s="1"/>
      <c r="AD139" s="1"/>
      <c r="AE139" s="1"/>
    </row>
    <row r="140" spans="1:31" ht="14.4" customHeight="1">
      <c r="A140" s="1"/>
      <c r="B140" s="274"/>
      <c r="C140" s="275"/>
      <c r="D140" s="276"/>
      <c r="E140" s="275"/>
      <c r="F140" s="276"/>
      <c r="G140" s="275"/>
      <c r="H140" s="276"/>
      <c r="I140" s="275"/>
      <c r="J140" s="276"/>
      <c r="K140" s="275"/>
      <c r="L140" s="276"/>
      <c r="M140" s="275"/>
      <c r="N140" s="276"/>
      <c r="O140" s="275"/>
      <c r="P140" s="276"/>
      <c r="Q140" s="275"/>
      <c r="R140" s="276"/>
      <c r="S140" s="275"/>
      <c r="T140" s="276"/>
      <c r="U140" s="275"/>
      <c r="V140" s="276"/>
      <c r="W140" s="275"/>
      <c r="X140" s="276"/>
      <c r="Y140" s="275"/>
      <c r="Z140" s="276"/>
      <c r="AA140" s="277"/>
      <c r="AB140" s="1"/>
      <c r="AC140" s="1"/>
      <c r="AD140" s="1"/>
      <c r="AE140" s="1"/>
    </row>
    <row r="141" spans="1:31" ht="14.4" customHeight="1">
      <c r="A141" s="1"/>
      <c r="B141" s="274"/>
      <c r="C141" s="275"/>
      <c r="D141" s="276"/>
      <c r="E141" s="275"/>
      <c r="F141" s="276"/>
      <c r="G141" s="275"/>
      <c r="H141" s="276"/>
      <c r="I141" s="275"/>
      <c r="J141" s="276"/>
      <c r="K141" s="275"/>
      <c r="L141" s="276"/>
      <c r="M141" s="275"/>
      <c r="N141" s="276"/>
      <c r="O141" s="275"/>
      <c r="P141" s="276"/>
      <c r="Q141" s="275"/>
      <c r="R141" s="276"/>
      <c r="S141" s="275"/>
      <c r="T141" s="276"/>
      <c r="U141" s="275"/>
      <c r="V141" s="276"/>
      <c r="W141" s="275"/>
      <c r="X141" s="276"/>
      <c r="Y141" s="275"/>
      <c r="Z141" s="276"/>
      <c r="AA141" s="277"/>
      <c r="AB141" s="1"/>
      <c r="AC141" s="1"/>
      <c r="AD141" s="1"/>
      <c r="AE141" s="1"/>
    </row>
    <row r="142" spans="1:31" ht="14.4" customHeight="1">
      <c r="A142" s="1"/>
      <c r="B142" s="274"/>
      <c r="C142" s="275"/>
      <c r="D142" s="276"/>
      <c r="E142" s="275"/>
      <c r="F142" s="276"/>
      <c r="G142" s="275"/>
      <c r="H142" s="276"/>
      <c r="I142" s="275"/>
      <c r="J142" s="276"/>
      <c r="K142" s="275"/>
      <c r="L142" s="276"/>
      <c r="M142" s="275"/>
      <c r="N142" s="276"/>
      <c r="O142" s="275"/>
      <c r="P142" s="276"/>
      <c r="Q142" s="275"/>
      <c r="R142" s="276"/>
      <c r="S142" s="275"/>
      <c r="T142" s="276"/>
      <c r="U142" s="275"/>
      <c r="V142" s="276"/>
      <c r="W142" s="275"/>
      <c r="X142" s="276"/>
      <c r="Y142" s="275"/>
      <c r="Z142" s="276"/>
      <c r="AA142" s="277"/>
      <c r="AB142" s="1"/>
      <c r="AC142" s="1"/>
      <c r="AD142" s="1"/>
      <c r="AE142" s="1"/>
    </row>
    <row r="143" spans="1:31" ht="14.4" customHeight="1">
      <c r="A143" s="1"/>
      <c r="B143" s="274"/>
      <c r="C143" s="275"/>
      <c r="D143" s="276"/>
      <c r="E143" s="275"/>
      <c r="F143" s="276"/>
      <c r="G143" s="275"/>
      <c r="H143" s="276"/>
      <c r="I143" s="275"/>
      <c r="J143" s="276"/>
      <c r="K143" s="275"/>
      <c r="L143" s="276"/>
      <c r="M143" s="275"/>
      <c r="N143" s="276"/>
      <c r="O143" s="275"/>
      <c r="P143" s="276"/>
      <c r="Q143" s="275"/>
      <c r="R143" s="276"/>
      <c r="S143" s="275"/>
      <c r="T143" s="276"/>
      <c r="U143" s="275"/>
      <c r="V143" s="276"/>
      <c r="W143" s="275"/>
      <c r="X143" s="276"/>
      <c r="Y143" s="275"/>
      <c r="Z143" s="276"/>
      <c r="AA143" s="277"/>
      <c r="AB143" s="1"/>
      <c r="AC143" s="1"/>
      <c r="AD143" s="1"/>
      <c r="AE143" s="1"/>
    </row>
    <row r="144" spans="1:31" ht="14.4" customHeight="1">
      <c r="A144" s="1"/>
      <c r="B144" s="274"/>
      <c r="C144" s="275"/>
      <c r="D144" s="276"/>
      <c r="E144" s="275"/>
      <c r="F144" s="276"/>
      <c r="G144" s="275"/>
      <c r="H144" s="276"/>
      <c r="I144" s="275"/>
      <c r="J144" s="276"/>
      <c r="K144" s="275"/>
      <c r="L144" s="276"/>
      <c r="M144" s="275"/>
      <c r="N144" s="276"/>
      <c r="O144" s="275"/>
      <c r="P144" s="276"/>
      <c r="Q144" s="275"/>
      <c r="R144" s="276"/>
      <c r="S144" s="275"/>
      <c r="T144" s="276"/>
      <c r="U144" s="275"/>
      <c r="V144" s="276"/>
      <c r="W144" s="275"/>
      <c r="X144" s="276"/>
      <c r="Y144" s="275"/>
      <c r="Z144" s="276"/>
      <c r="AA144" s="277"/>
      <c r="AB144" s="1"/>
      <c r="AC144" s="1"/>
      <c r="AD144" s="1"/>
      <c r="AE144" s="1"/>
    </row>
    <row r="145" spans="1:31" ht="14.4" customHeight="1">
      <c r="A145" s="1"/>
      <c r="B145" s="274"/>
      <c r="C145" s="275"/>
      <c r="D145" s="276"/>
      <c r="E145" s="275"/>
      <c r="F145" s="276"/>
      <c r="G145" s="275"/>
      <c r="H145" s="276"/>
      <c r="I145" s="275"/>
      <c r="J145" s="276"/>
      <c r="K145" s="275"/>
      <c r="L145" s="276"/>
      <c r="M145" s="275"/>
      <c r="N145" s="276"/>
      <c r="O145" s="275"/>
      <c r="P145" s="276"/>
      <c r="Q145" s="275"/>
      <c r="R145" s="276"/>
      <c r="S145" s="275"/>
      <c r="T145" s="276"/>
      <c r="U145" s="275"/>
      <c r="V145" s="276"/>
      <c r="W145" s="275"/>
      <c r="X145" s="276"/>
      <c r="Y145" s="275"/>
      <c r="Z145" s="276"/>
      <c r="AA145" s="277"/>
      <c r="AB145" s="1"/>
      <c r="AC145" s="1"/>
      <c r="AD145" s="1"/>
      <c r="AE145" s="1"/>
    </row>
    <row r="146" spans="1:31" ht="14.4" customHeight="1">
      <c r="A146" s="1"/>
      <c r="B146" s="274"/>
      <c r="C146" s="275"/>
      <c r="D146" s="276"/>
      <c r="E146" s="275"/>
      <c r="F146" s="276"/>
      <c r="G146" s="275"/>
      <c r="H146" s="276"/>
      <c r="I146" s="275"/>
      <c r="J146" s="276"/>
      <c r="K146" s="275"/>
      <c r="L146" s="276"/>
      <c r="M146" s="275"/>
      <c r="N146" s="276"/>
      <c r="O146" s="275"/>
      <c r="P146" s="276"/>
      <c r="Q146" s="275"/>
      <c r="R146" s="276"/>
      <c r="S146" s="275"/>
      <c r="T146" s="276"/>
      <c r="U146" s="275"/>
      <c r="V146" s="276"/>
      <c r="W146" s="275"/>
      <c r="X146" s="276"/>
      <c r="Y146" s="275"/>
      <c r="Z146" s="276"/>
      <c r="AA146" s="277"/>
      <c r="AB146" s="1"/>
      <c r="AC146" s="1"/>
      <c r="AD146" s="1"/>
      <c r="AE146" s="1"/>
    </row>
    <row r="147" spans="1:31" ht="14.4" customHeight="1">
      <c r="A147" s="1"/>
      <c r="B147" s="274"/>
      <c r="C147" s="275"/>
      <c r="D147" s="276"/>
      <c r="E147" s="275"/>
      <c r="F147" s="276"/>
      <c r="G147" s="275"/>
      <c r="H147" s="276"/>
      <c r="I147" s="275"/>
      <c r="J147" s="276"/>
      <c r="K147" s="275"/>
      <c r="L147" s="276"/>
      <c r="M147" s="275"/>
      <c r="N147" s="276"/>
      <c r="O147" s="275"/>
      <c r="P147" s="276"/>
      <c r="Q147" s="275"/>
      <c r="R147" s="276"/>
      <c r="S147" s="275"/>
      <c r="T147" s="276"/>
      <c r="U147" s="275"/>
      <c r="V147" s="276"/>
      <c r="W147" s="275"/>
      <c r="X147" s="276"/>
      <c r="Y147" s="275"/>
      <c r="Z147" s="276"/>
      <c r="AA147" s="277"/>
      <c r="AB147" s="1"/>
      <c r="AC147" s="1"/>
      <c r="AD147" s="1"/>
      <c r="AE147" s="1"/>
    </row>
    <row r="148" spans="1:31" ht="14.4" customHeight="1">
      <c r="A148" s="1"/>
      <c r="B148" s="274"/>
      <c r="C148" s="275"/>
      <c r="D148" s="276"/>
      <c r="E148" s="275"/>
      <c r="F148" s="276"/>
      <c r="G148" s="275"/>
      <c r="H148" s="276"/>
      <c r="I148" s="275"/>
      <c r="J148" s="276"/>
      <c r="K148" s="275"/>
      <c r="L148" s="276"/>
      <c r="M148" s="275"/>
      <c r="N148" s="276"/>
      <c r="O148" s="275"/>
      <c r="P148" s="276"/>
      <c r="Q148" s="275"/>
      <c r="R148" s="276"/>
      <c r="S148" s="275"/>
      <c r="T148" s="276"/>
      <c r="U148" s="275"/>
      <c r="V148" s="276"/>
      <c r="W148" s="275"/>
      <c r="X148" s="276"/>
      <c r="Y148" s="275"/>
      <c r="Z148" s="276"/>
      <c r="AA148" s="277"/>
      <c r="AB148" s="1"/>
      <c r="AC148" s="1"/>
      <c r="AD148" s="1"/>
      <c r="AE148" s="1"/>
    </row>
    <row r="149" spans="1:31" ht="14.4" customHeight="1">
      <c r="A149" s="1"/>
      <c r="B149" s="274"/>
      <c r="C149" s="275"/>
      <c r="D149" s="276"/>
      <c r="E149" s="275"/>
      <c r="F149" s="276"/>
      <c r="G149" s="275"/>
      <c r="H149" s="276"/>
      <c r="I149" s="275"/>
      <c r="J149" s="276"/>
      <c r="K149" s="275"/>
      <c r="L149" s="276"/>
      <c r="M149" s="275"/>
      <c r="N149" s="276"/>
      <c r="O149" s="275"/>
      <c r="P149" s="276"/>
      <c r="Q149" s="275"/>
      <c r="R149" s="276"/>
      <c r="S149" s="275"/>
      <c r="T149" s="276"/>
      <c r="U149" s="275"/>
      <c r="V149" s="276"/>
      <c r="W149" s="275"/>
      <c r="X149" s="276"/>
      <c r="Y149" s="275"/>
      <c r="Z149" s="276"/>
      <c r="AA149" s="277"/>
      <c r="AB149" s="1"/>
      <c r="AC149" s="1"/>
      <c r="AD149" s="1"/>
      <c r="AE149" s="1"/>
    </row>
    <row r="150" spans="1:31" ht="14.4" customHeight="1">
      <c r="A150" s="1"/>
      <c r="B150" s="274"/>
      <c r="C150" s="275"/>
      <c r="D150" s="276"/>
      <c r="E150" s="275"/>
      <c r="F150" s="276"/>
      <c r="G150" s="275"/>
      <c r="H150" s="276"/>
      <c r="I150" s="275"/>
      <c r="J150" s="276"/>
      <c r="K150" s="275"/>
      <c r="L150" s="276"/>
      <c r="M150" s="275"/>
      <c r="N150" s="276"/>
      <c r="O150" s="275"/>
      <c r="P150" s="276"/>
      <c r="Q150" s="275"/>
      <c r="R150" s="276"/>
      <c r="S150" s="275"/>
      <c r="T150" s="276"/>
      <c r="U150" s="275"/>
      <c r="V150" s="276"/>
      <c r="W150" s="275"/>
      <c r="X150" s="276"/>
      <c r="Y150" s="275"/>
      <c r="Z150" s="276"/>
      <c r="AA150" s="277"/>
      <c r="AB150" s="1"/>
      <c r="AC150" s="1"/>
      <c r="AD150" s="1"/>
      <c r="AE150" s="1"/>
    </row>
    <row r="151" spans="1:31" ht="14.4" customHeight="1">
      <c r="A151" s="1"/>
      <c r="B151" s="274"/>
      <c r="C151" s="275"/>
      <c r="D151" s="276"/>
      <c r="E151" s="275"/>
      <c r="F151" s="276"/>
      <c r="G151" s="275"/>
      <c r="H151" s="276"/>
      <c r="I151" s="275"/>
      <c r="J151" s="276"/>
      <c r="K151" s="275"/>
      <c r="L151" s="276"/>
      <c r="M151" s="275"/>
      <c r="N151" s="276"/>
      <c r="O151" s="275"/>
      <c r="P151" s="276"/>
      <c r="Q151" s="275"/>
      <c r="R151" s="276"/>
      <c r="S151" s="275"/>
      <c r="T151" s="276"/>
      <c r="U151" s="275"/>
      <c r="V151" s="276"/>
      <c r="W151" s="275"/>
      <c r="X151" s="276"/>
      <c r="Y151" s="275"/>
      <c r="Z151" s="276"/>
      <c r="AA151" s="277"/>
      <c r="AB151" s="1"/>
      <c r="AC151" s="1"/>
      <c r="AD151" s="1"/>
      <c r="AE151" s="1"/>
    </row>
    <row r="152" spans="1:31" ht="14.4" customHeight="1">
      <c r="A152" s="1"/>
      <c r="B152" s="274"/>
      <c r="C152" s="275"/>
      <c r="D152" s="276"/>
      <c r="E152" s="275"/>
      <c r="F152" s="276"/>
      <c r="G152" s="275"/>
      <c r="H152" s="276"/>
      <c r="I152" s="275"/>
      <c r="J152" s="276"/>
      <c r="K152" s="275"/>
      <c r="L152" s="276"/>
      <c r="M152" s="275"/>
      <c r="N152" s="276"/>
      <c r="O152" s="275"/>
      <c r="P152" s="276"/>
      <c r="Q152" s="275"/>
      <c r="R152" s="276"/>
      <c r="S152" s="275"/>
      <c r="T152" s="276"/>
      <c r="U152" s="275"/>
      <c r="V152" s="276"/>
      <c r="W152" s="275"/>
      <c r="X152" s="276"/>
      <c r="Y152" s="275"/>
      <c r="Z152" s="276"/>
      <c r="AA152" s="277"/>
      <c r="AB152" s="1"/>
      <c r="AC152" s="1"/>
      <c r="AD152" s="1"/>
      <c r="AE152" s="1"/>
    </row>
    <row r="153" spans="1:31" ht="14.4" customHeight="1">
      <c r="A153" s="1"/>
      <c r="B153" s="274"/>
      <c r="C153" s="275"/>
      <c r="D153" s="276"/>
      <c r="E153" s="275"/>
      <c r="F153" s="276"/>
      <c r="G153" s="275"/>
      <c r="H153" s="276"/>
      <c r="I153" s="275"/>
      <c r="J153" s="276"/>
      <c r="K153" s="275"/>
      <c r="L153" s="276"/>
      <c r="M153" s="275"/>
      <c r="N153" s="276"/>
      <c r="O153" s="275"/>
      <c r="P153" s="276"/>
      <c r="Q153" s="275"/>
      <c r="R153" s="276"/>
      <c r="S153" s="275"/>
      <c r="T153" s="276"/>
      <c r="U153" s="275"/>
      <c r="V153" s="276"/>
      <c r="W153" s="275"/>
      <c r="X153" s="276"/>
      <c r="Y153" s="275"/>
      <c r="Z153" s="276"/>
      <c r="AA153" s="277"/>
      <c r="AB153" s="1"/>
      <c r="AC153" s="1"/>
      <c r="AD153" s="1"/>
      <c r="AE153" s="1"/>
    </row>
    <row r="154" spans="1:31" ht="14.4" customHeight="1">
      <c r="A154" s="1"/>
      <c r="B154" s="274"/>
      <c r="C154" s="275"/>
      <c r="D154" s="276"/>
      <c r="E154" s="275"/>
      <c r="F154" s="276"/>
      <c r="G154" s="275"/>
      <c r="H154" s="276"/>
      <c r="I154" s="275"/>
      <c r="J154" s="276"/>
      <c r="K154" s="275"/>
      <c r="L154" s="276"/>
      <c r="M154" s="275"/>
      <c r="N154" s="276"/>
      <c r="O154" s="275"/>
      <c r="P154" s="276"/>
      <c r="Q154" s="275"/>
      <c r="R154" s="276"/>
      <c r="S154" s="275"/>
      <c r="T154" s="276"/>
      <c r="U154" s="275"/>
      <c r="V154" s="276"/>
      <c r="W154" s="275"/>
      <c r="X154" s="276"/>
      <c r="Y154" s="275"/>
      <c r="Z154" s="276"/>
      <c r="AA154" s="277"/>
      <c r="AB154" s="1"/>
      <c r="AC154" s="1"/>
      <c r="AD154" s="1"/>
      <c r="AE154" s="1"/>
    </row>
    <row r="155" spans="1:31" ht="14.4" customHeight="1">
      <c r="A155" s="1"/>
      <c r="B155" s="274"/>
      <c r="C155" s="278"/>
      <c r="D155" s="276"/>
      <c r="E155" s="275"/>
      <c r="F155" s="276"/>
      <c r="G155" s="275"/>
      <c r="H155" s="276"/>
      <c r="I155" s="275"/>
      <c r="J155" s="276"/>
      <c r="K155" s="275"/>
      <c r="L155" s="276"/>
      <c r="M155" s="275"/>
      <c r="N155" s="276"/>
      <c r="O155" s="275"/>
      <c r="P155" s="276"/>
      <c r="Q155" s="275"/>
      <c r="R155" s="276"/>
      <c r="S155" s="275"/>
      <c r="T155" s="276"/>
      <c r="U155" s="275"/>
      <c r="V155" s="276"/>
      <c r="W155" s="275"/>
      <c r="X155" s="276"/>
      <c r="Y155" s="275"/>
      <c r="Z155" s="276"/>
      <c r="AA155" s="277"/>
      <c r="AB155" s="1"/>
      <c r="AC155" s="1"/>
      <c r="AD155" s="1"/>
      <c r="AE155" s="1"/>
    </row>
    <row r="156" spans="1:31" ht="14.4" customHeight="1">
      <c r="A156" s="1"/>
      <c r="B156" s="274"/>
      <c r="C156" s="275"/>
      <c r="D156" s="276"/>
      <c r="E156" s="275"/>
      <c r="F156" s="276"/>
      <c r="G156" s="275"/>
      <c r="H156" s="276"/>
      <c r="I156" s="275"/>
      <c r="J156" s="276"/>
      <c r="K156" s="275"/>
      <c r="L156" s="276"/>
      <c r="M156" s="275"/>
      <c r="N156" s="276"/>
      <c r="O156" s="275"/>
      <c r="P156" s="276"/>
      <c r="Q156" s="275"/>
      <c r="R156" s="276"/>
      <c r="S156" s="275"/>
      <c r="T156" s="276"/>
      <c r="U156" s="275"/>
      <c r="V156" s="276"/>
      <c r="W156" s="275"/>
      <c r="X156" s="276"/>
      <c r="Y156" s="275"/>
      <c r="Z156" s="276"/>
      <c r="AA156" s="277"/>
      <c r="AB156" s="1"/>
      <c r="AC156" s="1"/>
      <c r="AD156" s="1"/>
      <c r="AE156" s="1"/>
    </row>
    <row r="157" spans="1:31" ht="14.4" customHeight="1">
      <c r="A157" s="1"/>
      <c r="B157" s="274"/>
      <c r="C157" s="275"/>
      <c r="D157" s="276"/>
      <c r="E157" s="275"/>
      <c r="F157" s="276"/>
      <c r="G157" s="275"/>
      <c r="H157" s="276"/>
      <c r="I157" s="275"/>
      <c r="J157" s="276"/>
      <c r="K157" s="275"/>
      <c r="L157" s="276"/>
      <c r="M157" s="275"/>
      <c r="N157" s="276"/>
      <c r="O157" s="275"/>
      <c r="P157" s="276"/>
      <c r="Q157" s="275"/>
      <c r="R157" s="276"/>
      <c r="S157" s="275"/>
      <c r="T157" s="276"/>
      <c r="U157" s="275"/>
      <c r="V157" s="276"/>
      <c r="W157" s="275"/>
      <c r="X157" s="276"/>
      <c r="Y157" s="275"/>
      <c r="Z157" s="276"/>
      <c r="AA157" s="277"/>
      <c r="AB157" s="1"/>
      <c r="AC157" s="1"/>
      <c r="AD157" s="1"/>
      <c r="AE157" s="1"/>
    </row>
    <row r="158" spans="1:31" ht="14.4" customHeight="1">
      <c r="A158" s="1"/>
      <c r="B158" s="274"/>
      <c r="C158" s="275"/>
      <c r="D158" s="276"/>
      <c r="E158" s="275"/>
      <c r="F158" s="276"/>
      <c r="G158" s="275"/>
      <c r="H158" s="276"/>
      <c r="I158" s="275"/>
      <c r="J158" s="276"/>
      <c r="K158" s="275"/>
      <c r="L158" s="276"/>
      <c r="M158" s="275"/>
      <c r="N158" s="276"/>
      <c r="O158" s="275"/>
      <c r="P158" s="276"/>
      <c r="Q158" s="275"/>
      <c r="R158" s="276"/>
      <c r="S158" s="275"/>
      <c r="T158" s="276"/>
      <c r="U158" s="275"/>
      <c r="V158" s="276"/>
      <c r="W158" s="275"/>
      <c r="X158" s="276"/>
      <c r="Y158" s="275"/>
      <c r="Z158" s="276"/>
      <c r="AA158" s="277"/>
      <c r="AB158" s="1"/>
      <c r="AC158" s="1"/>
      <c r="AD158" s="1"/>
      <c r="AE158" s="1"/>
    </row>
    <row r="159" spans="1:31" ht="14.4" customHeight="1">
      <c r="A159" s="1"/>
      <c r="B159" s="274"/>
      <c r="C159" s="275"/>
      <c r="D159" s="276"/>
      <c r="E159" s="275"/>
      <c r="F159" s="276"/>
      <c r="G159" s="275"/>
      <c r="H159" s="276"/>
      <c r="I159" s="275"/>
      <c r="J159" s="276"/>
      <c r="K159" s="275"/>
      <c r="L159" s="276"/>
      <c r="M159" s="275"/>
      <c r="N159" s="276"/>
      <c r="O159" s="275"/>
      <c r="P159" s="276"/>
      <c r="Q159" s="275"/>
      <c r="R159" s="276"/>
      <c r="S159" s="275"/>
      <c r="T159" s="276"/>
      <c r="U159" s="275"/>
      <c r="V159" s="276"/>
      <c r="W159" s="275"/>
      <c r="X159" s="276"/>
      <c r="Y159" s="275"/>
      <c r="Z159" s="276"/>
      <c r="AA159" s="277"/>
      <c r="AB159" s="1"/>
      <c r="AC159" s="1"/>
      <c r="AD159" s="1"/>
      <c r="AE159" s="1"/>
    </row>
    <row r="160" spans="1:31" ht="14.4" customHeight="1">
      <c r="A160" s="1"/>
      <c r="B160" s="274"/>
      <c r="C160" s="275"/>
      <c r="D160" s="276"/>
      <c r="E160" s="275"/>
      <c r="F160" s="276"/>
      <c r="G160" s="275"/>
      <c r="H160" s="276"/>
      <c r="I160" s="275"/>
      <c r="J160" s="276"/>
      <c r="K160" s="275"/>
      <c r="L160" s="276"/>
      <c r="M160" s="275"/>
      <c r="N160" s="276"/>
      <c r="O160" s="275"/>
      <c r="P160" s="276"/>
      <c r="Q160" s="275"/>
      <c r="R160" s="276"/>
      <c r="S160" s="275"/>
      <c r="T160" s="276"/>
      <c r="U160" s="275"/>
      <c r="V160" s="276"/>
      <c r="W160" s="275"/>
      <c r="X160" s="276"/>
      <c r="Y160" s="275"/>
      <c r="Z160" s="276"/>
      <c r="AA160" s="277"/>
      <c r="AB160" s="1"/>
      <c r="AC160" s="1"/>
      <c r="AD160" s="1"/>
      <c r="AE160" s="1"/>
    </row>
    <row r="161" spans="1:31" ht="14.4" customHeight="1">
      <c r="A161" s="1"/>
      <c r="B161" s="274"/>
      <c r="C161" s="275"/>
      <c r="D161" s="276"/>
      <c r="E161" s="275"/>
      <c r="F161" s="276"/>
      <c r="G161" s="275"/>
      <c r="H161" s="276"/>
      <c r="I161" s="275"/>
      <c r="J161" s="276"/>
      <c r="K161" s="275"/>
      <c r="L161" s="276"/>
      <c r="M161" s="275"/>
      <c r="N161" s="276"/>
      <c r="O161" s="275"/>
      <c r="P161" s="276"/>
      <c r="Q161" s="275"/>
      <c r="R161" s="276"/>
      <c r="S161" s="275"/>
      <c r="T161" s="276"/>
      <c r="U161" s="275"/>
      <c r="V161" s="276"/>
      <c r="W161" s="275"/>
      <c r="X161" s="276"/>
      <c r="Y161" s="275"/>
      <c r="Z161" s="276"/>
      <c r="AA161" s="277"/>
      <c r="AB161" s="1"/>
      <c r="AC161" s="1"/>
      <c r="AD161" s="1"/>
      <c r="AE161" s="1"/>
    </row>
    <row r="162" spans="1:31" ht="14.4" customHeight="1">
      <c r="A162" s="1"/>
      <c r="B162" s="274"/>
      <c r="C162" s="275"/>
      <c r="D162" s="276"/>
      <c r="E162" s="275"/>
      <c r="F162" s="276"/>
      <c r="G162" s="275"/>
      <c r="H162" s="276"/>
      <c r="I162" s="275"/>
      <c r="J162" s="276"/>
      <c r="K162" s="275"/>
      <c r="L162" s="276"/>
      <c r="M162" s="275"/>
      <c r="N162" s="276"/>
      <c r="O162" s="275"/>
      <c r="P162" s="276"/>
      <c r="Q162" s="275"/>
      <c r="R162" s="276"/>
      <c r="S162" s="275"/>
      <c r="T162" s="276"/>
      <c r="U162" s="275"/>
      <c r="V162" s="276"/>
      <c r="W162" s="275"/>
      <c r="X162" s="276"/>
      <c r="Y162" s="275"/>
      <c r="Z162" s="276"/>
      <c r="AA162" s="277"/>
      <c r="AB162" s="1"/>
      <c r="AC162" s="1"/>
      <c r="AD162" s="1"/>
      <c r="AE162" s="1"/>
    </row>
    <row r="163" spans="1:31" ht="14.4" customHeight="1">
      <c r="A163" s="1"/>
      <c r="B163" s="274"/>
      <c r="C163" s="275"/>
      <c r="D163" s="276"/>
      <c r="E163" s="275"/>
      <c r="F163" s="276"/>
      <c r="G163" s="275"/>
      <c r="H163" s="276"/>
      <c r="I163" s="275"/>
      <c r="J163" s="276"/>
      <c r="K163" s="275"/>
      <c r="L163" s="276"/>
      <c r="M163" s="275"/>
      <c r="N163" s="276"/>
      <c r="O163" s="275"/>
      <c r="P163" s="276"/>
      <c r="Q163" s="275"/>
      <c r="R163" s="276"/>
      <c r="S163" s="275"/>
      <c r="T163" s="276"/>
      <c r="U163" s="275"/>
      <c r="V163" s="276"/>
      <c r="W163" s="275"/>
      <c r="X163" s="276"/>
      <c r="Y163" s="275"/>
      <c r="Z163" s="276"/>
      <c r="AA163" s="277"/>
      <c r="AB163" s="1"/>
      <c r="AC163" s="1"/>
      <c r="AD163" s="1"/>
      <c r="AE163" s="1"/>
    </row>
    <row r="164" spans="1:31" ht="14.4" customHeight="1">
      <c r="A164" s="1"/>
      <c r="B164" s="274"/>
      <c r="C164" s="275"/>
      <c r="D164" s="276"/>
      <c r="E164" s="275"/>
      <c r="F164" s="276"/>
      <c r="G164" s="275"/>
      <c r="H164" s="276"/>
      <c r="I164" s="275"/>
      <c r="J164" s="276"/>
      <c r="K164" s="275"/>
      <c r="L164" s="276"/>
      <c r="M164" s="275"/>
      <c r="N164" s="276"/>
      <c r="O164" s="275"/>
      <c r="P164" s="276"/>
      <c r="Q164" s="275"/>
      <c r="R164" s="276"/>
      <c r="S164" s="275"/>
      <c r="T164" s="276"/>
      <c r="U164" s="275"/>
      <c r="V164" s="276"/>
      <c r="W164" s="275"/>
      <c r="X164" s="276"/>
      <c r="Y164" s="275"/>
      <c r="Z164" s="276"/>
      <c r="AA164" s="277"/>
      <c r="AB164" s="1"/>
      <c r="AC164" s="1"/>
      <c r="AD164" s="1"/>
      <c r="AE164" s="1"/>
    </row>
    <row r="165" spans="1:31" ht="14.4" customHeight="1">
      <c r="A165" s="1"/>
      <c r="B165" s="274"/>
      <c r="C165" s="275"/>
      <c r="D165" s="276"/>
      <c r="E165" s="275"/>
      <c r="F165" s="276"/>
      <c r="G165" s="275"/>
      <c r="H165" s="276"/>
      <c r="I165" s="275"/>
      <c r="J165" s="276"/>
      <c r="K165" s="275"/>
      <c r="L165" s="276"/>
      <c r="M165" s="275"/>
      <c r="N165" s="276"/>
      <c r="O165" s="275"/>
      <c r="P165" s="276"/>
      <c r="Q165" s="275"/>
      <c r="R165" s="276"/>
      <c r="S165" s="275"/>
      <c r="T165" s="276"/>
      <c r="U165" s="275"/>
      <c r="V165" s="276"/>
      <c r="W165" s="275"/>
      <c r="X165" s="276"/>
      <c r="Y165" s="275"/>
      <c r="Z165" s="276"/>
      <c r="AA165" s="277"/>
      <c r="AB165" s="1"/>
      <c r="AC165" s="1"/>
      <c r="AD165" s="1"/>
      <c r="AE165" s="1"/>
    </row>
    <row r="166" spans="1:31" ht="14.4" customHeight="1">
      <c r="A166" s="1"/>
      <c r="B166" s="274"/>
      <c r="C166" s="275"/>
      <c r="D166" s="276"/>
      <c r="E166" s="275"/>
      <c r="F166" s="276"/>
      <c r="G166" s="275"/>
      <c r="H166" s="276"/>
      <c r="I166" s="275"/>
      <c r="J166" s="276"/>
      <c r="K166" s="275"/>
      <c r="L166" s="276"/>
      <c r="M166" s="275"/>
      <c r="N166" s="276"/>
      <c r="O166" s="275"/>
      <c r="P166" s="276"/>
      <c r="Q166" s="275"/>
      <c r="R166" s="276"/>
      <c r="S166" s="275"/>
      <c r="T166" s="276"/>
      <c r="U166" s="275"/>
      <c r="V166" s="276"/>
      <c r="W166" s="275"/>
      <c r="X166" s="276"/>
      <c r="Y166" s="275"/>
      <c r="Z166" s="276"/>
      <c r="AA166" s="277"/>
      <c r="AB166" s="1"/>
      <c r="AC166" s="1"/>
      <c r="AD166" s="1"/>
      <c r="AE166" s="1"/>
    </row>
    <row r="167" spans="1:31" ht="14.4" customHeight="1">
      <c r="A167" s="1"/>
      <c r="B167" s="274"/>
      <c r="C167" s="275"/>
      <c r="D167" s="276"/>
      <c r="E167" s="275"/>
      <c r="F167" s="276"/>
      <c r="G167" s="275"/>
      <c r="H167" s="276"/>
      <c r="I167" s="275"/>
      <c r="J167" s="276"/>
      <c r="K167" s="275"/>
      <c r="L167" s="276"/>
      <c r="M167" s="275"/>
      <c r="N167" s="276"/>
      <c r="O167" s="275"/>
      <c r="P167" s="276"/>
      <c r="Q167" s="275"/>
      <c r="R167" s="276"/>
      <c r="S167" s="275"/>
      <c r="T167" s="276"/>
      <c r="U167" s="275"/>
      <c r="V167" s="276"/>
      <c r="W167" s="275"/>
      <c r="X167" s="276"/>
      <c r="Y167" s="275"/>
      <c r="Z167" s="276"/>
      <c r="AA167" s="277"/>
      <c r="AB167" s="1"/>
      <c r="AC167" s="1"/>
      <c r="AD167" s="1"/>
      <c r="AE167" s="1"/>
    </row>
    <row r="168" spans="1:31" ht="14.4" customHeight="1">
      <c r="A168" s="1"/>
      <c r="B168" s="274"/>
      <c r="C168" s="275"/>
      <c r="D168" s="276"/>
      <c r="E168" s="275"/>
      <c r="F168" s="276"/>
      <c r="G168" s="275"/>
      <c r="H168" s="276"/>
      <c r="I168" s="275"/>
      <c r="J168" s="276"/>
      <c r="K168" s="275"/>
      <c r="L168" s="276"/>
      <c r="M168" s="275"/>
      <c r="N168" s="276"/>
      <c r="O168" s="275"/>
      <c r="P168" s="276"/>
      <c r="Q168" s="275"/>
      <c r="R168" s="276"/>
      <c r="S168" s="275"/>
      <c r="T168" s="276"/>
      <c r="U168" s="275"/>
      <c r="V168" s="276"/>
      <c r="W168" s="275"/>
      <c r="X168" s="276"/>
      <c r="Y168" s="275"/>
      <c r="Z168" s="276"/>
      <c r="AA168" s="277"/>
      <c r="AB168" s="1"/>
      <c r="AC168" s="1"/>
      <c r="AD168" s="1"/>
      <c r="AE168" s="1"/>
    </row>
    <row r="169" spans="1:31" ht="14.4" customHeight="1">
      <c r="A169" s="1"/>
      <c r="B169" s="274"/>
      <c r="C169" s="275"/>
      <c r="D169" s="276"/>
      <c r="E169" s="275"/>
      <c r="F169" s="276"/>
      <c r="G169" s="275"/>
      <c r="H169" s="276"/>
      <c r="I169" s="275"/>
      <c r="J169" s="276"/>
      <c r="K169" s="275"/>
      <c r="L169" s="276"/>
      <c r="M169" s="275"/>
      <c r="N169" s="276"/>
      <c r="O169" s="275"/>
      <c r="P169" s="276"/>
      <c r="Q169" s="275"/>
      <c r="R169" s="276"/>
      <c r="S169" s="275"/>
      <c r="T169" s="276"/>
      <c r="U169" s="275"/>
      <c r="V169" s="276"/>
      <c r="W169" s="275"/>
      <c r="X169" s="276"/>
      <c r="Y169" s="275"/>
      <c r="Z169" s="276"/>
      <c r="AA169" s="277"/>
      <c r="AB169" s="1"/>
      <c r="AC169" s="1"/>
      <c r="AD169" s="1"/>
      <c r="AE169" s="1"/>
    </row>
    <row r="170" spans="1:31" ht="14.4" customHeight="1">
      <c r="A170" s="1"/>
      <c r="B170" s="274"/>
      <c r="C170" s="275"/>
      <c r="D170" s="276"/>
      <c r="E170" s="275"/>
      <c r="F170" s="276"/>
      <c r="G170" s="275"/>
      <c r="H170" s="276"/>
      <c r="I170" s="275"/>
      <c r="J170" s="276"/>
      <c r="K170" s="275"/>
      <c r="L170" s="276"/>
      <c r="M170" s="275"/>
      <c r="N170" s="276"/>
      <c r="O170" s="275"/>
      <c r="P170" s="276"/>
      <c r="Q170" s="275"/>
      <c r="R170" s="276"/>
      <c r="S170" s="275"/>
      <c r="T170" s="276"/>
      <c r="U170" s="275"/>
      <c r="V170" s="276"/>
      <c r="W170" s="275"/>
      <c r="X170" s="276"/>
      <c r="Y170" s="275"/>
      <c r="Z170" s="276"/>
      <c r="AA170" s="277"/>
      <c r="AB170" s="1"/>
      <c r="AC170" s="1"/>
      <c r="AD170" s="1"/>
      <c r="AE170" s="1"/>
    </row>
    <row r="171" spans="1:31" ht="14.4" customHeight="1">
      <c r="A171" s="1"/>
      <c r="B171" s="274"/>
      <c r="C171" s="275"/>
      <c r="D171" s="276"/>
      <c r="E171" s="275"/>
      <c r="F171" s="276"/>
      <c r="G171" s="275"/>
      <c r="H171" s="276"/>
      <c r="I171" s="275"/>
      <c r="J171" s="276"/>
      <c r="K171" s="275"/>
      <c r="L171" s="276"/>
      <c r="M171" s="275"/>
      <c r="N171" s="276"/>
      <c r="O171" s="275"/>
      <c r="P171" s="276"/>
      <c r="Q171" s="275"/>
      <c r="R171" s="276"/>
      <c r="S171" s="275"/>
      <c r="T171" s="276"/>
      <c r="U171" s="275"/>
      <c r="V171" s="276"/>
      <c r="W171" s="275"/>
      <c r="X171" s="276"/>
      <c r="Y171" s="275"/>
      <c r="Z171" s="276"/>
      <c r="AA171" s="277"/>
      <c r="AB171" s="1"/>
      <c r="AC171" s="1"/>
      <c r="AD171" s="1"/>
      <c r="AE171" s="1"/>
    </row>
    <row r="172" spans="1:31" ht="14.4" customHeight="1">
      <c r="A172" s="1"/>
      <c r="B172" s="274"/>
      <c r="C172" s="275"/>
      <c r="D172" s="276"/>
      <c r="E172" s="275"/>
      <c r="F172" s="276"/>
      <c r="G172" s="275"/>
      <c r="H172" s="276"/>
      <c r="I172" s="275"/>
      <c r="J172" s="276"/>
      <c r="K172" s="275"/>
      <c r="L172" s="276"/>
      <c r="M172" s="275"/>
      <c r="N172" s="276"/>
      <c r="O172" s="275"/>
      <c r="P172" s="276"/>
      <c r="Q172" s="275"/>
      <c r="R172" s="276"/>
      <c r="S172" s="275"/>
      <c r="T172" s="276"/>
      <c r="U172" s="275"/>
      <c r="V172" s="276"/>
      <c r="W172" s="275"/>
      <c r="X172" s="276"/>
      <c r="Y172" s="275"/>
      <c r="Z172" s="276"/>
      <c r="AA172" s="277"/>
      <c r="AB172" s="1"/>
      <c r="AC172" s="1"/>
      <c r="AD172" s="1"/>
      <c r="AE172" s="1"/>
    </row>
    <row r="173" spans="1:31" ht="14.4" customHeight="1">
      <c r="A173" s="1"/>
      <c r="B173" s="274"/>
      <c r="C173" s="275"/>
      <c r="D173" s="276"/>
      <c r="E173" s="275"/>
      <c r="F173" s="276"/>
      <c r="G173" s="275"/>
      <c r="H173" s="276"/>
      <c r="I173" s="275"/>
      <c r="J173" s="276"/>
      <c r="K173" s="275"/>
      <c r="L173" s="276"/>
      <c r="M173" s="275"/>
      <c r="N173" s="276"/>
      <c r="O173" s="275"/>
      <c r="P173" s="276"/>
      <c r="Q173" s="275"/>
      <c r="R173" s="276"/>
      <c r="S173" s="275"/>
      <c r="T173" s="276"/>
      <c r="U173" s="275"/>
      <c r="V173" s="276"/>
      <c r="W173" s="275"/>
      <c r="X173" s="276"/>
      <c r="Y173" s="275"/>
      <c r="Z173" s="276"/>
      <c r="AA173" s="277"/>
      <c r="AB173" s="1"/>
      <c r="AC173" s="1"/>
      <c r="AD173" s="1"/>
      <c r="AE173" s="1"/>
    </row>
    <row r="174" spans="1:31" ht="14.4" customHeight="1">
      <c r="A174" s="1"/>
      <c r="B174" s="274"/>
      <c r="C174" s="275"/>
      <c r="D174" s="276"/>
      <c r="E174" s="275"/>
      <c r="F174" s="276"/>
      <c r="G174" s="275"/>
      <c r="H174" s="276"/>
      <c r="I174" s="275"/>
      <c r="J174" s="276"/>
      <c r="K174" s="275"/>
      <c r="L174" s="276"/>
      <c r="M174" s="275"/>
      <c r="N174" s="276"/>
      <c r="O174" s="275"/>
      <c r="P174" s="276"/>
      <c r="Q174" s="275"/>
      <c r="R174" s="276"/>
      <c r="S174" s="275"/>
      <c r="T174" s="276"/>
      <c r="U174" s="275"/>
      <c r="V174" s="276"/>
      <c r="W174" s="275"/>
      <c r="X174" s="276"/>
      <c r="Y174" s="275"/>
      <c r="Z174" s="276"/>
      <c r="AA174" s="277"/>
      <c r="AB174" s="1"/>
      <c r="AC174" s="1"/>
      <c r="AD174" s="1"/>
      <c r="AE174" s="1"/>
    </row>
    <row r="175" spans="1:31" ht="14.4" customHeight="1">
      <c r="A175" s="1"/>
      <c r="B175" s="274"/>
      <c r="C175" s="275"/>
      <c r="D175" s="276"/>
      <c r="E175" s="275"/>
      <c r="F175" s="276"/>
      <c r="G175" s="275"/>
      <c r="H175" s="276"/>
      <c r="I175" s="275"/>
      <c r="J175" s="276"/>
      <c r="K175" s="275"/>
      <c r="L175" s="276"/>
      <c r="M175" s="275"/>
      <c r="N175" s="276"/>
      <c r="O175" s="275"/>
      <c r="P175" s="276"/>
      <c r="Q175" s="275"/>
      <c r="R175" s="276"/>
      <c r="S175" s="275"/>
      <c r="T175" s="276"/>
      <c r="U175" s="275"/>
      <c r="V175" s="276"/>
      <c r="W175" s="275"/>
      <c r="X175" s="276"/>
      <c r="Y175" s="275"/>
      <c r="Z175" s="276"/>
      <c r="AA175" s="277"/>
      <c r="AB175" s="1"/>
      <c r="AC175" s="1"/>
      <c r="AD175" s="1"/>
      <c r="AE175" s="1"/>
    </row>
    <row r="176" spans="1:31" ht="14.4" customHeight="1">
      <c r="A176" s="1"/>
      <c r="B176" s="274"/>
      <c r="C176" s="275"/>
      <c r="D176" s="276"/>
      <c r="E176" s="275"/>
      <c r="F176" s="276"/>
      <c r="G176" s="275"/>
      <c r="H176" s="276"/>
      <c r="I176" s="275"/>
      <c r="J176" s="276"/>
      <c r="K176" s="275"/>
      <c r="L176" s="276"/>
      <c r="M176" s="275"/>
      <c r="N176" s="276"/>
      <c r="O176" s="275"/>
      <c r="P176" s="276"/>
      <c r="Q176" s="275"/>
      <c r="R176" s="276"/>
      <c r="S176" s="275"/>
      <c r="T176" s="276"/>
      <c r="U176" s="275"/>
      <c r="V176" s="276"/>
      <c r="W176" s="275"/>
      <c r="X176" s="276"/>
      <c r="Y176" s="275"/>
      <c r="Z176" s="276"/>
      <c r="AA176" s="277"/>
      <c r="AB176" s="1"/>
      <c r="AC176" s="1"/>
      <c r="AD176" s="1"/>
      <c r="AE176" s="1"/>
    </row>
    <row r="177" spans="1:31" ht="14.4" customHeight="1">
      <c r="A177" s="1"/>
      <c r="B177" s="274"/>
      <c r="C177" s="275"/>
      <c r="D177" s="276"/>
      <c r="E177" s="275"/>
      <c r="F177" s="276"/>
      <c r="G177" s="275"/>
      <c r="H177" s="276"/>
      <c r="I177" s="275"/>
      <c r="J177" s="276"/>
      <c r="K177" s="275"/>
      <c r="L177" s="276"/>
      <c r="M177" s="275"/>
      <c r="N177" s="276"/>
      <c r="O177" s="275"/>
      <c r="P177" s="276"/>
      <c r="Q177" s="275"/>
      <c r="R177" s="276"/>
      <c r="S177" s="275"/>
      <c r="T177" s="276"/>
      <c r="U177" s="275"/>
      <c r="V177" s="276"/>
      <c r="W177" s="275"/>
      <c r="X177" s="276"/>
      <c r="Y177" s="275"/>
      <c r="Z177" s="276"/>
      <c r="AA177" s="277"/>
      <c r="AB177" s="1"/>
      <c r="AC177" s="1"/>
      <c r="AD177" s="1"/>
      <c r="AE177" s="1"/>
    </row>
    <row r="178" spans="1:31" ht="14.4" customHeight="1">
      <c r="A178" s="1"/>
      <c r="B178" s="274"/>
      <c r="C178" s="275"/>
      <c r="D178" s="276"/>
      <c r="E178" s="275"/>
      <c r="F178" s="276"/>
      <c r="G178" s="275"/>
      <c r="H178" s="276"/>
      <c r="I178" s="275"/>
      <c r="J178" s="276"/>
      <c r="K178" s="275"/>
      <c r="L178" s="276"/>
      <c r="M178" s="275"/>
      <c r="N178" s="276"/>
      <c r="O178" s="275"/>
      <c r="P178" s="276"/>
      <c r="Q178" s="275"/>
      <c r="R178" s="276"/>
      <c r="S178" s="275"/>
      <c r="T178" s="276"/>
      <c r="U178" s="275"/>
      <c r="V178" s="276"/>
      <c r="W178" s="275"/>
      <c r="X178" s="276"/>
      <c r="Y178" s="275"/>
      <c r="Z178" s="276"/>
      <c r="AA178" s="277"/>
      <c r="AB178" s="1"/>
      <c r="AC178" s="1"/>
      <c r="AD178" s="1"/>
      <c r="AE178" s="1"/>
    </row>
    <row r="179" spans="1:31" ht="14.4" customHeight="1">
      <c r="A179" s="1"/>
      <c r="B179" s="274"/>
      <c r="C179" s="275"/>
      <c r="D179" s="276"/>
      <c r="E179" s="275"/>
      <c r="F179" s="276"/>
      <c r="G179" s="275"/>
      <c r="H179" s="276"/>
      <c r="I179" s="275"/>
      <c r="J179" s="276"/>
      <c r="K179" s="275"/>
      <c r="L179" s="276"/>
      <c r="M179" s="275"/>
      <c r="N179" s="276"/>
      <c r="O179" s="275"/>
      <c r="P179" s="276"/>
      <c r="Q179" s="275"/>
      <c r="R179" s="276"/>
      <c r="S179" s="275"/>
      <c r="T179" s="276"/>
      <c r="U179" s="275"/>
      <c r="V179" s="276"/>
      <c r="W179" s="275"/>
      <c r="X179" s="276"/>
      <c r="Y179" s="275"/>
      <c r="Z179" s="276"/>
      <c r="AA179" s="277"/>
      <c r="AB179" s="1"/>
      <c r="AC179" s="1"/>
      <c r="AD179" s="1"/>
      <c r="AE179" s="1"/>
    </row>
    <row r="180" spans="1:31" ht="14.4" customHeight="1">
      <c r="A180" s="1"/>
      <c r="B180" s="274"/>
      <c r="C180" s="275"/>
      <c r="D180" s="276"/>
      <c r="E180" s="275"/>
      <c r="F180" s="276"/>
      <c r="G180" s="275"/>
      <c r="H180" s="276"/>
      <c r="I180" s="275"/>
      <c r="J180" s="276"/>
      <c r="K180" s="275"/>
      <c r="L180" s="276"/>
      <c r="M180" s="275"/>
      <c r="N180" s="276"/>
      <c r="O180" s="275"/>
      <c r="P180" s="276"/>
      <c r="Q180" s="275"/>
      <c r="R180" s="276"/>
      <c r="S180" s="275"/>
      <c r="T180" s="276"/>
      <c r="U180" s="275"/>
      <c r="V180" s="276"/>
      <c r="W180" s="275"/>
      <c r="X180" s="276"/>
      <c r="Y180" s="275"/>
      <c r="Z180" s="276"/>
      <c r="AA180" s="277"/>
      <c r="AB180" s="1"/>
      <c r="AC180" s="1"/>
      <c r="AD180" s="1"/>
      <c r="AE180" s="1"/>
    </row>
    <row r="181" spans="1:31" ht="14.4" customHeight="1">
      <c r="A181" s="1"/>
      <c r="B181" s="274"/>
      <c r="C181" s="275"/>
      <c r="D181" s="276"/>
      <c r="E181" s="275"/>
      <c r="F181" s="276"/>
      <c r="G181" s="275"/>
      <c r="H181" s="276"/>
      <c r="I181" s="275"/>
      <c r="J181" s="276"/>
      <c r="K181" s="275"/>
      <c r="L181" s="276"/>
      <c r="M181" s="275"/>
      <c r="N181" s="276"/>
      <c r="O181" s="275"/>
      <c r="P181" s="276"/>
      <c r="Q181" s="275"/>
      <c r="R181" s="276"/>
      <c r="S181" s="275"/>
      <c r="T181" s="276"/>
      <c r="U181" s="275"/>
      <c r="V181" s="276"/>
      <c r="W181" s="275"/>
      <c r="X181" s="276"/>
      <c r="Y181" s="275"/>
      <c r="Z181" s="276"/>
      <c r="AA181" s="277"/>
      <c r="AB181" s="1"/>
      <c r="AC181" s="1"/>
      <c r="AD181" s="1"/>
      <c r="AE181" s="1"/>
    </row>
    <row r="182" spans="1:31" ht="14.4" customHeight="1">
      <c r="A182" s="1"/>
      <c r="B182" s="274"/>
      <c r="C182" s="275"/>
      <c r="D182" s="276"/>
      <c r="E182" s="275"/>
      <c r="F182" s="276"/>
      <c r="G182" s="275"/>
      <c r="H182" s="276"/>
      <c r="I182" s="275"/>
      <c r="J182" s="276"/>
      <c r="K182" s="275"/>
      <c r="L182" s="276"/>
      <c r="M182" s="275"/>
      <c r="N182" s="276"/>
      <c r="O182" s="275"/>
      <c r="P182" s="276"/>
      <c r="Q182" s="275"/>
      <c r="R182" s="276"/>
      <c r="S182" s="275"/>
      <c r="T182" s="276"/>
      <c r="U182" s="275"/>
      <c r="V182" s="276"/>
      <c r="W182" s="275"/>
      <c r="X182" s="276"/>
      <c r="Y182" s="275"/>
      <c r="Z182" s="276"/>
      <c r="AA182" s="277"/>
      <c r="AB182" s="1"/>
      <c r="AC182" s="1"/>
      <c r="AD182" s="1"/>
      <c r="AE182" s="1"/>
    </row>
    <row r="183" spans="1:31" ht="14.4" customHeight="1">
      <c r="A183" s="1"/>
      <c r="B183" s="274"/>
      <c r="C183" s="275"/>
      <c r="D183" s="276"/>
      <c r="E183" s="275"/>
      <c r="F183" s="276"/>
      <c r="G183" s="275"/>
      <c r="H183" s="276"/>
      <c r="I183" s="275"/>
      <c r="J183" s="276"/>
      <c r="K183" s="275"/>
      <c r="L183" s="276"/>
      <c r="M183" s="275"/>
      <c r="N183" s="276"/>
      <c r="O183" s="275"/>
      <c r="P183" s="276"/>
      <c r="Q183" s="275"/>
      <c r="R183" s="276"/>
      <c r="S183" s="275"/>
      <c r="T183" s="276"/>
      <c r="U183" s="275"/>
      <c r="V183" s="276"/>
      <c r="W183" s="275"/>
      <c r="X183" s="276"/>
      <c r="Y183" s="275"/>
      <c r="Z183" s="276"/>
      <c r="AA183" s="277"/>
      <c r="AB183" s="1"/>
      <c r="AC183" s="1"/>
      <c r="AD183" s="1"/>
      <c r="AE183" s="1"/>
    </row>
    <row r="184" spans="1:31" ht="14.4" customHeight="1">
      <c r="A184" s="1"/>
      <c r="B184" s="274"/>
      <c r="C184" s="275"/>
      <c r="D184" s="276"/>
      <c r="E184" s="275"/>
      <c r="F184" s="276"/>
      <c r="G184" s="275"/>
      <c r="H184" s="276"/>
      <c r="I184" s="275"/>
      <c r="J184" s="276"/>
      <c r="K184" s="275"/>
      <c r="L184" s="276"/>
      <c r="M184" s="275"/>
      <c r="N184" s="276"/>
      <c r="O184" s="275"/>
      <c r="P184" s="276"/>
      <c r="Q184" s="275"/>
      <c r="R184" s="276"/>
      <c r="S184" s="275"/>
      <c r="T184" s="276"/>
      <c r="U184" s="275"/>
      <c r="V184" s="276"/>
      <c r="W184" s="275"/>
      <c r="X184" s="276"/>
      <c r="Y184" s="275"/>
      <c r="Z184" s="276"/>
      <c r="AA184" s="277"/>
      <c r="AB184" s="1"/>
      <c r="AC184" s="1"/>
      <c r="AD184" s="1"/>
      <c r="AE184" s="1"/>
    </row>
    <row r="185" spans="1:31" ht="14.4" customHeight="1">
      <c r="A185" s="1"/>
      <c r="B185" s="274"/>
      <c r="C185" s="278"/>
      <c r="D185" s="276"/>
      <c r="E185" s="275"/>
      <c r="F185" s="276"/>
      <c r="G185" s="275"/>
      <c r="H185" s="276"/>
      <c r="I185" s="275"/>
      <c r="J185" s="276"/>
      <c r="K185" s="275"/>
      <c r="L185" s="276"/>
      <c r="M185" s="275"/>
      <c r="N185" s="276"/>
      <c r="O185" s="275"/>
      <c r="P185" s="276"/>
      <c r="Q185" s="275"/>
      <c r="R185" s="276"/>
      <c r="S185" s="275"/>
      <c r="T185" s="276"/>
      <c r="U185" s="275"/>
      <c r="V185" s="276"/>
      <c r="W185" s="275"/>
      <c r="X185" s="276"/>
      <c r="Y185" s="275"/>
      <c r="Z185" s="276"/>
      <c r="AA185" s="277"/>
      <c r="AB185" s="1"/>
      <c r="AC185" s="1"/>
      <c r="AD185" s="1"/>
      <c r="AE185" s="1"/>
    </row>
    <row r="186" spans="1:31" ht="14.4" customHeight="1">
      <c r="A186" s="1"/>
      <c r="B186" s="274"/>
      <c r="C186" s="275"/>
      <c r="D186" s="276"/>
      <c r="E186" s="275"/>
      <c r="F186" s="276"/>
      <c r="G186" s="275"/>
      <c r="H186" s="276"/>
      <c r="I186" s="275"/>
      <c r="J186" s="276"/>
      <c r="K186" s="275"/>
      <c r="L186" s="276"/>
      <c r="M186" s="275"/>
      <c r="N186" s="276"/>
      <c r="O186" s="275"/>
      <c r="P186" s="276"/>
      <c r="Q186" s="275"/>
      <c r="R186" s="276"/>
      <c r="S186" s="275"/>
      <c r="T186" s="276"/>
      <c r="U186" s="275"/>
      <c r="V186" s="276"/>
      <c r="W186" s="275"/>
      <c r="X186" s="276"/>
      <c r="Y186" s="275"/>
      <c r="Z186" s="276"/>
      <c r="AA186" s="277"/>
      <c r="AB186" s="1"/>
      <c r="AC186" s="1"/>
      <c r="AD186" s="1"/>
      <c r="AE186" s="1"/>
    </row>
    <row r="187" spans="1:31" ht="14.4" customHeight="1">
      <c r="A187" s="1"/>
      <c r="B187" s="274"/>
      <c r="C187" s="275"/>
      <c r="D187" s="276"/>
      <c r="E187" s="275"/>
      <c r="F187" s="276"/>
      <c r="G187" s="275"/>
      <c r="H187" s="276"/>
      <c r="I187" s="275"/>
      <c r="J187" s="276"/>
      <c r="K187" s="275"/>
      <c r="L187" s="276"/>
      <c r="M187" s="275"/>
      <c r="N187" s="276"/>
      <c r="O187" s="275"/>
      <c r="P187" s="276"/>
      <c r="Q187" s="275"/>
      <c r="R187" s="276"/>
      <c r="S187" s="275"/>
      <c r="T187" s="276"/>
      <c r="U187" s="275"/>
      <c r="V187" s="276"/>
      <c r="W187" s="275"/>
      <c r="X187" s="276"/>
      <c r="Y187" s="275"/>
      <c r="Z187" s="276"/>
      <c r="AA187" s="277"/>
      <c r="AB187" s="1"/>
      <c r="AC187" s="1"/>
      <c r="AD187" s="1"/>
      <c r="AE187" s="1"/>
    </row>
    <row r="188" spans="1:31" ht="14.4" customHeight="1">
      <c r="A188" s="1"/>
      <c r="B188" s="274"/>
      <c r="C188" s="275"/>
      <c r="D188" s="276"/>
      <c r="E188" s="275"/>
      <c r="F188" s="276"/>
      <c r="G188" s="275"/>
      <c r="H188" s="276"/>
      <c r="I188" s="275"/>
      <c r="J188" s="276"/>
      <c r="K188" s="275"/>
      <c r="L188" s="276"/>
      <c r="M188" s="275"/>
      <c r="N188" s="276"/>
      <c r="O188" s="275"/>
      <c r="P188" s="276"/>
      <c r="Q188" s="275"/>
      <c r="R188" s="276"/>
      <c r="S188" s="275"/>
      <c r="T188" s="276"/>
      <c r="U188" s="275"/>
      <c r="V188" s="276"/>
      <c r="W188" s="275"/>
      <c r="X188" s="276"/>
      <c r="Y188" s="275"/>
      <c r="Z188" s="276"/>
      <c r="AA188" s="277"/>
      <c r="AB188" s="1"/>
      <c r="AC188" s="1"/>
      <c r="AD188" s="1"/>
      <c r="AE188" s="1"/>
    </row>
    <row r="189" spans="1:31" ht="14.4" customHeight="1">
      <c r="A189" s="1"/>
      <c r="B189" s="274"/>
      <c r="C189" s="275"/>
      <c r="D189" s="276"/>
      <c r="E189" s="275"/>
      <c r="F189" s="276"/>
      <c r="G189" s="275"/>
      <c r="H189" s="276"/>
      <c r="I189" s="275"/>
      <c r="J189" s="276"/>
      <c r="K189" s="275"/>
      <c r="L189" s="276"/>
      <c r="M189" s="275"/>
      <c r="N189" s="276"/>
      <c r="O189" s="275"/>
      <c r="P189" s="276"/>
      <c r="Q189" s="275"/>
      <c r="R189" s="276"/>
      <c r="S189" s="275"/>
      <c r="T189" s="276"/>
      <c r="U189" s="275"/>
      <c r="V189" s="276"/>
      <c r="W189" s="275"/>
      <c r="X189" s="276"/>
      <c r="Y189" s="275"/>
      <c r="Z189" s="276"/>
      <c r="AA189" s="277"/>
      <c r="AB189" s="1"/>
      <c r="AC189" s="1"/>
      <c r="AD189" s="1"/>
      <c r="AE189" s="1"/>
    </row>
    <row r="190" spans="1:31" ht="14.4" customHeight="1">
      <c r="A190" s="1"/>
      <c r="B190" s="274"/>
      <c r="C190" s="275"/>
      <c r="D190" s="276"/>
      <c r="E190" s="275"/>
      <c r="F190" s="276"/>
      <c r="G190" s="275"/>
      <c r="H190" s="276"/>
      <c r="I190" s="275"/>
      <c r="J190" s="276"/>
      <c r="K190" s="275"/>
      <c r="L190" s="276"/>
      <c r="M190" s="275"/>
      <c r="N190" s="276"/>
      <c r="O190" s="275"/>
      <c r="P190" s="276"/>
      <c r="Q190" s="275"/>
      <c r="R190" s="276"/>
      <c r="S190" s="275"/>
      <c r="T190" s="276"/>
      <c r="U190" s="275"/>
      <c r="V190" s="276"/>
      <c r="W190" s="275"/>
      <c r="X190" s="276"/>
      <c r="Y190" s="275"/>
      <c r="Z190" s="276"/>
      <c r="AA190" s="277"/>
      <c r="AB190" s="1"/>
      <c r="AC190" s="1"/>
      <c r="AD190" s="1"/>
      <c r="AE190" s="1"/>
    </row>
    <row r="191" spans="1:31" ht="14.4" customHeight="1">
      <c r="A191" s="1"/>
      <c r="B191" s="274"/>
      <c r="C191" s="275"/>
      <c r="D191" s="276"/>
      <c r="E191" s="275"/>
      <c r="F191" s="276"/>
      <c r="G191" s="275"/>
      <c r="H191" s="276"/>
      <c r="I191" s="275"/>
      <c r="J191" s="276"/>
      <c r="K191" s="275"/>
      <c r="L191" s="276"/>
      <c r="M191" s="275"/>
      <c r="N191" s="276"/>
      <c r="O191" s="275"/>
      <c r="P191" s="276"/>
      <c r="Q191" s="275"/>
      <c r="R191" s="276"/>
      <c r="S191" s="275"/>
      <c r="T191" s="276"/>
      <c r="U191" s="275"/>
      <c r="V191" s="276"/>
      <c r="W191" s="275"/>
      <c r="X191" s="276"/>
      <c r="Y191" s="275"/>
      <c r="Z191" s="276"/>
      <c r="AA191" s="277"/>
      <c r="AB191" s="1"/>
      <c r="AC191" s="1"/>
      <c r="AD191" s="1"/>
      <c r="AE191" s="1"/>
    </row>
    <row r="192" spans="1:31" ht="14.4" customHeight="1">
      <c r="A192" s="1"/>
      <c r="B192" s="274"/>
      <c r="C192" s="275"/>
      <c r="D192" s="276"/>
      <c r="E192" s="275"/>
      <c r="F192" s="276"/>
      <c r="G192" s="275"/>
      <c r="H192" s="276"/>
      <c r="I192" s="275"/>
      <c r="J192" s="276"/>
      <c r="K192" s="275"/>
      <c r="L192" s="276"/>
      <c r="M192" s="275"/>
      <c r="N192" s="276"/>
      <c r="O192" s="275"/>
      <c r="P192" s="276"/>
      <c r="Q192" s="275"/>
      <c r="R192" s="276"/>
      <c r="S192" s="275"/>
      <c r="T192" s="276"/>
      <c r="U192" s="275"/>
      <c r="V192" s="276"/>
      <c r="W192" s="275"/>
      <c r="X192" s="276"/>
      <c r="Y192" s="275"/>
      <c r="Z192" s="276"/>
      <c r="AA192" s="277"/>
      <c r="AB192" s="1"/>
      <c r="AC192" s="1"/>
      <c r="AD192" s="1"/>
      <c r="AE192" s="1"/>
    </row>
    <row r="193" spans="1:31" ht="14.4" customHeight="1">
      <c r="A193" s="1"/>
      <c r="B193" s="274"/>
      <c r="C193" s="275"/>
      <c r="D193" s="276"/>
      <c r="E193" s="275"/>
      <c r="F193" s="276"/>
      <c r="G193" s="275"/>
      <c r="H193" s="276"/>
      <c r="I193" s="275"/>
      <c r="J193" s="276"/>
      <c r="K193" s="275"/>
      <c r="L193" s="276"/>
      <c r="M193" s="275"/>
      <c r="N193" s="276"/>
      <c r="O193" s="275"/>
      <c r="P193" s="276"/>
      <c r="Q193" s="275"/>
      <c r="R193" s="276"/>
      <c r="S193" s="275"/>
      <c r="T193" s="276"/>
      <c r="U193" s="275"/>
      <c r="V193" s="276"/>
      <c r="W193" s="275"/>
      <c r="X193" s="276"/>
      <c r="Y193" s="275"/>
      <c r="Z193" s="276"/>
      <c r="AA193" s="277"/>
      <c r="AB193" s="1"/>
      <c r="AC193" s="1"/>
      <c r="AD193" s="1"/>
      <c r="AE193" s="1"/>
    </row>
    <row r="194" spans="1:31" ht="14.4" customHeight="1">
      <c r="A194" s="1"/>
      <c r="B194" s="274"/>
      <c r="C194" s="275"/>
      <c r="D194" s="276"/>
      <c r="E194" s="275"/>
      <c r="F194" s="276"/>
      <c r="G194" s="278"/>
      <c r="H194" s="276"/>
      <c r="I194" s="275"/>
      <c r="J194" s="276"/>
      <c r="K194" s="275"/>
      <c r="L194" s="276"/>
      <c r="M194" s="275"/>
      <c r="N194" s="276"/>
      <c r="O194" s="275"/>
      <c r="P194" s="276"/>
      <c r="Q194" s="275"/>
      <c r="R194" s="276"/>
      <c r="S194" s="275"/>
      <c r="T194" s="276"/>
      <c r="U194" s="275"/>
      <c r="V194" s="276"/>
      <c r="W194" s="275"/>
      <c r="X194" s="276"/>
      <c r="Y194" s="275"/>
      <c r="Z194" s="276"/>
      <c r="AA194" s="277"/>
      <c r="AB194" s="1"/>
      <c r="AC194" s="1"/>
      <c r="AD194" s="1"/>
      <c r="AE194" s="1"/>
    </row>
    <row r="195" spans="1:31" ht="15.6" customHeight="1">
      <c r="A195" s="1"/>
      <c r="B195" s="279"/>
      <c r="C195" s="280"/>
      <c r="D195" s="281"/>
      <c r="E195" s="280"/>
      <c r="F195" s="281"/>
      <c r="G195" s="280"/>
      <c r="H195" s="281"/>
      <c r="I195" s="280"/>
      <c r="J195" s="281"/>
      <c r="K195" s="280"/>
      <c r="L195" s="281"/>
      <c r="M195" s="280"/>
      <c r="N195" s="281"/>
      <c r="O195" s="280"/>
      <c r="P195" s="281"/>
      <c r="Q195" s="280"/>
      <c r="R195" s="281"/>
      <c r="S195" s="280"/>
      <c r="T195" s="281"/>
      <c r="U195" s="280"/>
      <c r="V195" s="281"/>
      <c r="W195" s="280"/>
      <c r="X195" s="281"/>
      <c r="Y195" s="280"/>
      <c r="Z195" s="281"/>
      <c r="AA195" s="282"/>
      <c r="AB195" s="1"/>
      <c r="AC195" s="1"/>
      <c r="AD195" s="1"/>
      <c r="AE195" s="1"/>
    </row>
    <row r="196" spans="1:31"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25.95" customHeight="1">
      <c r="A197" s="1"/>
      <c r="B197" s="622"/>
      <c r="C197" s="620"/>
      <c r="D197" s="620"/>
      <c r="E197" s="620"/>
      <c r="F197" s="620"/>
      <c r="G197" s="620"/>
      <c r="H197" s="620"/>
      <c r="I197" s="620"/>
      <c r="J197" s="620"/>
      <c r="K197" s="620"/>
      <c r="L197" s="620"/>
      <c r="M197" s="620"/>
      <c r="N197" s="620"/>
      <c r="O197" s="620"/>
      <c r="P197" s="620"/>
      <c r="Q197" s="620"/>
      <c r="R197" s="620"/>
      <c r="S197" s="620"/>
      <c r="T197" s="620"/>
      <c r="U197" s="620"/>
      <c r="V197" s="620"/>
      <c r="W197" s="620"/>
      <c r="X197" s="620"/>
      <c r="Y197" s="620"/>
      <c r="Z197" s="620"/>
      <c r="AA197" s="621"/>
      <c r="AB197" s="1"/>
      <c r="AC197" s="1"/>
      <c r="AD197" s="1"/>
      <c r="AE197" s="1"/>
    </row>
    <row r="198" spans="1:31" ht="15.6" customHeight="1">
      <c r="A198" s="1"/>
      <c r="B198" s="760"/>
      <c r="C198" s="759"/>
      <c r="D198" s="630"/>
      <c r="E198" s="759"/>
      <c r="F198" s="630"/>
      <c r="G198" s="759"/>
      <c r="H198" s="630"/>
      <c r="I198" s="759"/>
      <c r="J198" s="630"/>
      <c r="K198" s="759"/>
      <c r="L198" s="630"/>
      <c r="M198" s="759"/>
      <c r="N198" s="630"/>
      <c r="O198" s="759"/>
      <c r="P198" s="630"/>
      <c r="Q198" s="759"/>
      <c r="R198" s="630"/>
      <c r="S198" s="759"/>
      <c r="T198" s="630"/>
      <c r="U198" s="759"/>
      <c r="V198" s="630"/>
      <c r="W198" s="759"/>
      <c r="X198" s="630"/>
      <c r="Y198" s="759"/>
      <c r="Z198" s="630"/>
      <c r="AA198" s="762"/>
      <c r="AB198" s="1"/>
      <c r="AC198" s="1"/>
      <c r="AD198" s="1"/>
      <c r="AE198" s="1"/>
    </row>
    <row r="199" spans="1:31" ht="15.6" customHeight="1">
      <c r="A199" s="1"/>
      <c r="B199" s="761"/>
      <c r="C199" s="273"/>
      <c r="D199" s="273"/>
      <c r="E199" s="273"/>
      <c r="F199" s="273"/>
      <c r="G199" s="273"/>
      <c r="H199" s="273"/>
      <c r="I199" s="273"/>
      <c r="J199" s="273"/>
      <c r="K199" s="273"/>
      <c r="L199" s="273"/>
      <c r="M199" s="273"/>
      <c r="N199" s="273"/>
      <c r="O199" s="273"/>
      <c r="P199" s="273"/>
      <c r="Q199" s="273"/>
      <c r="R199" s="273"/>
      <c r="S199" s="273"/>
      <c r="T199" s="273"/>
      <c r="U199" s="273"/>
      <c r="V199" s="273"/>
      <c r="W199" s="273"/>
      <c r="X199" s="273"/>
      <c r="Y199" s="273"/>
      <c r="Z199" s="273"/>
      <c r="AA199" s="763"/>
      <c r="AB199" s="1"/>
      <c r="AC199" s="1"/>
      <c r="AD199" s="1"/>
      <c r="AE199" s="1"/>
    </row>
    <row r="200" spans="1:31" ht="14.4" customHeight="1">
      <c r="A200" s="1"/>
      <c r="B200" s="274"/>
      <c r="C200" s="275"/>
      <c r="D200" s="276"/>
      <c r="E200" s="275"/>
      <c r="F200" s="276"/>
      <c r="G200" s="275"/>
      <c r="H200" s="276"/>
      <c r="I200" s="275"/>
      <c r="J200" s="276"/>
      <c r="K200" s="275"/>
      <c r="L200" s="276"/>
      <c r="M200" s="275"/>
      <c r="N200" s="276"/>
      <c r="O200" s="275"/>
      <c r="P200" s="276"/>
      <c r="Q200" s="275"/>
      <c r="R200" s="276"/>
      <c r="S200" s="275"/>
      <c r="T200" s="276"/>
      <c r="U200" s="275"/>
      <c r="V200" s="276"/>
      <c r="W200" s="275"/>
      <c r="X200" s="276"/>
      <c r="Y200" s="275"/>
      <c r="Z200" s="276"/>
      <c r="AA200" s="277"/>
      <c r="AB200" s="1"/>
      <c r="AC200" s="1"/>
      <c r="AD200" s="1"/>
      <c r="AE200" s="1"/>
    </row>
    <row r="201" spans="1:31" ht="14.4" customHeight="1">
      <c r="A201" s="1"/>
      <c r="B201" s="274"/>
      <c r="C201" s="275"/>
      <c r="D201" s="276"/>
      <c r="E201" s="275"/>
      <c r="F201" s="276"/>
      <c r="G201" s="275"/>
      <c r="H201" s="276"/>
      <c r="I201" s="275"/>
      <c r="J201" s="276"/>
      <c r="K201" s="275"/>
      <c r="L201" s="276"/>
      <c r="M201" s="275"/>
      <c r="N201" s="276"/>
      <c r="O201" s="275"/>
      <c r="P201" s="276"/>
      <c r="Q201" s="275"/>
      <c r="R201" s="276"/>
      <c r="S201" s="275"/>
      <c r="T201" s="276"/>
      <c r="U201" s="275"/>
      <c r="V201" s="276"/>
      <c r="W201" s="275"/>
      <c r="X201" s="276"/>
      <c r="Y201" s="275"/>
      <c r="Z201" s="276"/>
      <c r="AA201" s="277"/>
      <c r="AB201" s="1"/>
      <c r="AC201" s="1"/>
      <c r="AD201" s="1"/>
      <c r="AE201" s="1"/>
    </row>
    <row r="202" spans="1:31" ht="14.4" customHeight="1">
      <c r="A202" s="1"/>
      <c r="B202" s="274"/>
      <c r="C202" s="275"/>
      <c r="D202" s="276"/>
      <c r="E202" s="275"/>
      <c r="F202" s="276"/>
      <c r="G202" s="275"/>
      <c r="H202" s="276"/>
      <c r="I202" s="275"/>
      <c r="J202" s="276"/>
      <c r="K202" s="275"/>
      <c r="L202" s="276"/>
      <c r="M202" s="275"/>
      <c r="N202" s="276"/>
      <c r="O202" s="275"/>
      <c r="P202" s="276"/>
      <c r="Q202" s="275"/>
      <c r="R202" s="276"/>
      <c r="S202" s="275"/>
      <c r="T202" s="276"/>
      <c r="U202" s="275"/>
      <c r="V202" s="276"/>
      <c r="W202" s="275"/>
      <c r="X202" s="276"/>
      <c r="Y202" s="275"/>
      <c r="Z202" s="276"/>
      <c r="AA202" s="277"/>
      <c r="AB202" s="1"/>
      <c r="AC202" s="1"/>
      <c r="AD202" s="1"/>
      <c r="AE202" s="1"/>
    </row>
    <row r="203" spans="1:31" ht="14.4" customHeight="1">
      <c r="A203" s="1"/>
      <c r="B203" s="274"/>
      <c r="C203" s="275"/>
      <c r="D203" s="276"/>
      <c r="E203" s="275"/>
      <c r="F203" s="276"/>
      <c r="G203" s="275"/>
      <c r="H203" s="276"/>
      <c r="I203" s="275"/>
      <c r="J203" s="276"/>
      <c r="K203" s="275"/>
      <c r="L203" s="276"/>
      <c r="M203" s="275"/>
      <c r="N203" s="276"/>
      <c r="O203" s="275"/>
      <c r="P203" s="276"/>
      <c r="Q203" s="275"/>
      <c r="R203" s="276"/>
      <c r="S203" s="275"/>
      <c r="T203" s="276"/>
      <c r="U203" s="275"/>
      <c r="V203" s="276"/>
      <c r="W203" s="275"/>
      <c r="X203" s="276"/>
      <c r="Y203" s="275"/>
      <c r="Z203" s="276"/>
      <c r="AA203" s="277"/>
      <c r="AB203" s="1"/>
      <c r="AC203" s="1"/>
      <c r="AD203" s="1"/>
      <c r="AE203" s="1"/>
    </row>
    <row r="204" spans="1:31" ht="14.4" customHeight="1">
      <c r="A204" s="1"/>
      <c r="B204" s="274"/>
      <c r="C204" s="275"/>
      <c r="D204" s="276"/>
      <c r="E204" s="275"/>
      <c r="F204" s="276"/>
      <c r="G204" s="275"/>
      <c r="H204" s="276"/>
      <c r="I204" s="275"/>
      <c r="J204" s="276"/>
      <c r="K204" s="275"/>
      <c r="L204" s="276"/>
      <c r="M204" s="275"/>
      <c r="N204" s="276"/>
      <c r="O204" s="275"/>
      <c r="P204" s="276"/>
      <c r="Q204" s="275"/>
      <c r="R204" s="276"/>
      <c r="S204" s="275"/>
      <c r="T204" s="276"/>
      <c r="U204" s="275"/>
      <c r="V204" s="276"/>
      <c r="W204" s="275"/>
      <c r="X204" s="276"/>
      <c r="Y204" s="275"/>
      <c r="Z204" s="276"/>
      <c r="AA204" s="277"/>
      <c r="AB204" s="1"/>
      <c r="AC204" s="1"/>
      <c r="AD204" s="1"/>
      <c r="AE204" s="1"/>
    </row>
    <row r="205" spans="1:31" ht="14.4" customHeight="1">
      <c r="A205" s="1"/>
      <c r="B205" s="274"/>
      <c r="C205" s="275"/>
      <c r="D205" s="276"/>
      <c r="E205" s="275"/>
      <c r="F205" s="276"/>
      <c r="G205" s="275"/>
      <c r="H205" s="276"/>
      <c r="I205" s="275"/>
      <c r="J205" s="276"/>
      <c r="K205" s="275"/>
      <c r="L205" s="276"/>
      <c r="M205" s="275"/>
      <c r="N205" s="276"/>
      <c r="O205" s="275"/>
      <c r="P205" s="276"/>
      <c r="Q205" s="275"/>
      <c r="R205" s="276"/>
      <c r="S205" s="275"/>
      <c r="T205" s="276"/>
      <c r="U205" s="275"/>
      <c r="V205" s="276"/>
      <c r="W205" s="275"/>
      <c r="X205" s="276"/>
      <c r="Y205" s="275"/>
      <c r="Z205" s="276"/>
      <c r="AA205" s="277"/>
      <c r="AB205" s="1"/>
      <c r="AC205" s="1"/>
      <c r="AD205" s="1"/>
      <c r="AE205" s="1"/>
    </row>
    <row r="206" spans="1:31" ht="14.4" customHeight="1">
      <c r="A206" s="1"/>
      <c r="B206" s="274"/>
      <c r="C206" s="275"/>
      <c r="D206" s="276"/>
      <c r="E206" s="275"/>
      <c r="F206" s="276"/>
      <c r="G206" s="275"/>
      <c r="H206" s="276"/>
      <c r="I206" s="275"/>
      <c r="J206" s="276"/>
      <c r="K206" s="275"/>
      <c r="L206" s="276"/>
      <c r="M206" s="275"/>
      <c r="N206" s="276"/>
      <c r="O206" s="275"/>
      <c r="P206" s="276"/>
      <c r="Q206" s="275"/>
      <c r="R206" s="276"/>
      <c r="S206" s="275"/>
      <c r="T206" s="276"/>
      <c r="U206" s="275"/>
      <c r="V206" s="276"/>
      <c r="W206" s="275"/>
      <c r="X206" s="276"/>
      <c r="Y206" s="275"/>
      <c r="Z206" s="276"/>
      <c r="AA206" s="277"/>
      <c r="AB206" s="1"/>
      <c r="AC206" s="1"/>
      <c r="AD206" s="1"/>
      <c r="AE206" s="1"/>
    </row>
    <row r="207" spans="1:31" ht="14.4" customHeight="1">
      <c r="A207" s="1"/>
      <c r="B207" s="274"/>
      <c r="C207" s="275"/>
      <c r="D207" s="276"/>
      <c r="E207" s="275"/>
      <c r="F207" s="276"/>
      <c r="G207" s="275"/>
      <c r="H207" s="276"/>
      <c r="I207" s="275"/>
      <c r="J207" s="276"/>
      <c r="K207" s="275"/>
      <c r="L207" s="276"/>
      <c r="M207" s="275"/>
      <c r="N207" s="276"/>
      <c r="O207" s="275"/>
      <c r="P207" s="276"/>
      <c r="Q207" s="275"/>
      <c r="R207" s="276"/>
      <c r="S207" s="275"/>
      <c r="T207" s="276"/>
      <c r="U207" s="275"/>
      <c r="V207" s="276"/>
      <c r="W207" s="275"/>
      <c r="X207" s="276"/>
      <c r="Y207" s="275"/>
      <c r="Z207" s="276"/>
      <c r="AA207" s="277"/>
      <c r="AB207" s="1"/>
      <c r="AC207" s="1"/>
      <c r="AD207" s="1"/>
      <c r="AE207" s="1"/>
    </row>
    <row r="208" spans="1:31" ht="14.4" customHeight="1">
      <c r="A208" s="1"/>
      <c r="B208" s="274"/>
      <c r="C208" s="275"/>
      <c r="D208" s="276"/>
      <c r="E208" s="275"/>
      <c r="F208" s="276"/>
      <c r="G208" s="275"/>
      <c r="H208" s="276"/>
      <c r="I208" s="275"/>
      <c r="J208" s="276"/>
      <c r="K208" s="275"/>
      <c r="L208" s="276"/>
      <c r="M208" s="275"/>
      <c r="N208" s="276"/>
      <c r="O208" s="275"/>
      <c r="P208" s="276"/>
      <c r="Q208" s="275"/>
      <c r="R208" s="276"/>
      <c r="S208" s="275"/>
      <c r="T208" s="276"/>
      <c r="U208" s="275"/>
      <c r="V208" s="276"/>
      <c r="W208" s="275"/>
      <c r="X208" s="276"/>
      <c r="Y208" s="275"/>
      <c r="Z208" s="276"/>
      <c r="AA208" s="277"/>
      <c r="AB208" s="1"/>
      <c r="AC208" s="1"/>
      <c r="AD208" s="1"/>
      <c r="AE208" s="1"/>
    </row>
    <row r="209" spans="1:31" ht="14.4" customHeight="1">
      <c r="A209" s="1"/>
      <c r="B209" s="274"/>
      <c r="C209" s="275"/>
      <c r="D209" s="276"/>
      <c r="E209" s="275"/>
      <c r="F209" s="276"/>
      <c r="G209" s="275"/>
      <c r="H209" s="276"/>
      <c r="I209" s="275"/>
      <c r="J209" s="276"/>
      <c r="K209" s="275"/>
      <c r="L209" s="276"/>
      <c r="M209" s="275"/>
      <c r="N209" s="276"/>
      <c r="O209" s="275"/>
      <c r="P209" s="276"/>
      <c r="Q209" s="275"/>
      <c r="R209" s="276"/>
      <c r="S209" s="275"/>
      <c r="T209" s="276"/>
      <c r="U209" s="275"/>
      <c r="V209" s="276"/>
      <c r="W209" s="275"/>
      <c r="X209" s="276"/>
      <c r="Y209" s="275"/>
      <c r="Z209" s="276"/>
      <c r="AA209" s="277"/>
      <c r="AB209" s="1"/>
      <c r="AC209" s="1"/>
      <c r="AD209" s="1"/>
      <c r="AE209" s="1"/>
    </row>
    <row r="210" spans="1:31" ht="14.4" customHeight="1">
      <c r="A210" s="1"/>
      <c r="B210" s="274"/>
      <c r="C210" s="275"/>
      <c r="D210" s="276"/>
      <c r="E210" s="275"/>
      <c r="F210" s="276"/>
      <c r="G210" s="275"/>
      <c r="H210" s="276"/>
      <c r="I210" s="275"/>
      <c r="J210" s="276"/>
      <c r="K210" s="275"/>
      <c r="L210" s="276"/>
      <c r="M210" s="275"/>
      <c r="N210" s="276"/>
      <c r="O210" s="275"/>
      <c r="P210" s="276"/>
      <c r="Q210" s="275"/>
      <c r="R210" s="276"/>
      <c r="S210" s="275"/>
      <c r="T210" s="276"/>
      <c r="U210" s="275"/>
      <c r="V210" s="276"/>
      <c r="W210" s="275"/>
      <c r="X210" s="276"/>
      <c r="Y210" s="275"/>
      <c r="Z210" s="276"/>
      <c r="AA210" s="277"/>
      <c r="AB210" s="1"/>
      <c r="AC210" s="1"/>
      <c r="AD210" s="1"/>
      <c r="AE210" s="1"/>
    </row>
    <row r="211" spans="1:31" ht="14.4" customHeight="1">
      <c r="A211" s="1"/>
      <c r="B211" s="274"/>
      <c r="C211" s="275"/>
      <c r="D211" s="276"/>
      <c r="E211" s="275"/>
      <c r="F211" s="276"/>
      <c r="G211" s="275"/>
      <c r="H211" s="276"/>
      <c r="I211" s="275"/>
      <c r="J211" s="276"/>
      <c r="K211" s="275"/>
      <c r="L211" s="276"/>
      <c r="M211" s="275"/>
      <c r="N211" s="276"/>
      <c r="O211" s="275"/>
      <c r="P211" s="276"/>
      <c r="Q211" s="275"/>
      <c r="R211" s="276"/>
      <c r="S211" s="275"/>
      <c r="T211" s="276"/>
      <c r="U211" s="275"/>
      <c r="V211" s="276"/>
      <c r="W211" s="275"/>
      <c r="X211" s="276"/>
      <c r="Y211" s="275"/>
      <c r="Z211" s="276"/>
      <c r="AA211" s="277"/>
      <c r="AB211" s="1"/>
      <c r="AC211" s="1"/>
      <c r="AD211" s="1"/>
      <c r="AE211" s="1"/>
    </row>
    <row r="212" spans="1:31" ht="14.4" customHeight="1">
      <c r="A212" s="1"/>
      <c r="B212" s="274"/>
      <c r="C212" s="275"/>
      <c r="D212" s="276"/>
      <c r="E212" s="275"/>
      <c r="F212" s="276"/>
      <c r="G212" s="275"/>
      <c r="H212" s="276"/>
      <c r="I212" s="275"/>
      <c r="J212" s="276"/>
      <c r="K212" s="275"/>
      <c r="L212" s="276"/>
      <c r="M212" s="275"/>
      <c r="N212" s="276"/>
      <c r="O212" s="275"/>
      <c r="P212" s="276"/>
      <c r="Q212" s="275"/>
      <c r="R212" s="276"/>
      <c r="S212" s="275"/>
      <c r="T212" s="276"/>
      <c r="U212" s="275"/>
      <c r="V212" s="276"/>
      <c r="W212" s="275"/>
      <c r="X212" s="276"/>
      <c r="Y212" s="275"/>
      <c r="Z212" s="276"/>
      <c r="AA212" s="277"/>
      <c r="AB212" s="1"/>
      <c r="AC212" s="1"/>
      <c r="AD212" s="1"/>
      <c r="AE212" s="1"/>
    </row>
    <row r="213" spans="1:31" ht="14.4" customHeight="1">
      <c r="A213" s="1"/>
      <c r="B213" s="274"/>
      <c r="C213" s="275"/>
      <c r="D213" s="276"/>
      <c r="E213" s="275"/>
      <c r="F213" s="276"/>
      <c r="G213" s="275"/>
      <c r="H213" s="276"/>
      <c r="I213" s="275"/>
      <c r="J213" s="276"/>
      <c r="K213" s="275"/>
      <c r="L213" s="276"/>
      <c r="M213" s="275"/>
      <c r="N213" s="276"/>
      <c r="O213" s="275"/>
      <c r="P213" s="276"/>
      <c r="Q213" s="275"/>
      <c r="R213" s="276"/>
      <c r="S213" s="275"/>
      <c r="T213" s="276"/>
      <c r="U213" s="275"/>
      <c r="V213" s="276"/>
      <c r="W213" s="275"/>
      <c r="X213" s="276"/>
      <c r="Y213" s="275"/>
      <c r="Z213" s="276"/>
      <c r="AA213" s="277"/>
      <c r="AB213" s="1"/>
      <c r="AC213" s="1"/>
      <c r="AD213" s="1"/>
      <c r="AE213" s="1"/>
    </row>
    <row r="214" spans="1:31" ht="14.4" customHeight="1">
      <c r="A214" s="1"/>
      <c r="B214" s="274"/>
      <c r="C214" s="275"/>
      <c r="D214" s="276"/>
      <c r="E214" s="275"/>
      <c r="F214" s="276"/>
      <c r="G214" s="275"/>
      <c r="H214" s="276"/>
      <c r="I214" s="275"/>
      <c r="J214" s="276"/>
      <c r="K214" s="275"/>
      <c r="L214" s="276"/>
      <c r="M214" s="275"/>
      <c r="N214" s="276"/>
      <c r="O214" s="275"/>
      <c r="P214" s="276"/>
      <c r="Q214" s="275"/>
      <c r="R214" s="276"/>
      <c r="S214" s="275"/>
      <c r="T214" s="276"/>
      <c r="U214" s="275"/>
      <c r="V214" s="276"/>
      <c r="W214" s="275"/>
      <c r="X214" s="276"/>
      <c r="Y214" s="275"/>
      <c r="Z214" s="276"/>
      <c r="AA214" s="277"/>
      <c r="AB214" s="1"/>
      <c r="AC214" s="1"/>
      <c r="AD214" s="1"/>
      <c r="AE214" s="1"/>
    </row>
    <row r="215" spans="1:31" ht="14.4" customHeight="1">
      <c r="A215" s="1"/>
      <c r="B215" s="274"/>
      <c r="C215" s="275"/>
      <c r="D215" s="276"/>
      <c r="E215" s="275"/>
      <c r="F215" s="276"/>
      <c r="G215" s="275"/>
      <c r="H215" s="276"/>
      <c r="I215" s="275"/>
      <c r="J215" s="276"/>
      <c r="K215" s="275"/>
      <c r="L215" s="276"/>
      <c r="M215" s="275"/>
      <c r="N215" s="276"/>
      <c r="O215" s="275"/>
      <c r="P215" s="276"/>
      <c r="Q215" s="275"/>
      <c r="R215" s="276"/>
      <c r="S215" s="275"/>
      <c r="T215" s="276"/>
      <c r="U215" s="275"/>
      <c r="V215" s="276"/>
      <c r="W215" s="275"/>
      <c r="X215" s="276"/>
      <c r="Y215" s="275"/>
      <c r="Z215" s="276"/>
      <c r="AA215" s="277"/>
      <c r="AB215" s="1"/>
      <c r="AC215" s="1"/>
      <c r="AD215" s="1"/>
      <c r="AE215" s="1"/>
    </row>
    <row r="216" spans="1:31" ht="14.4" customHeight="1">
      <c r="A216" s="1"/>
      <c r="B216" s="274"/>
      <c r="C216" s="275"/>
      <c r="D216" s="276"/>
      <c r="E216" s="275"/>
      <c r="F216" s="276"/>
      <c r="G216" s="275"/>
      <c r="H216" s="276"/>
      <c r="I216" s="275"/>
      <c r="J216" s="276"/>
      <c r="K216" s="275"/>
      <c r="L216" s="276"/>
      <c r="M216" s="275"/>
      <c r="N216" s="276"/>
      <c r="O216" s="275"/>
      <c r="P216" s="276"/>
      <c r="Q216" s="275"/>
      <c r="R216" s="276"/>
      <c r="S216" s="275"/>
      <c r="T216" s="276"/>
      <c r="U216" s="275"/>
      <c r="V216" s="276"/>
      <c r="W216" s="275"/>
      <c r="X216" s="276"/>
      <c r="Y216" s="275"/>
      <c r="Z216" s="276"/>
      <c r="AA216" s="277"/>
      <c r="AB216" s="1"/>
      <c r="AC216" s="1"/>
      <c r="AD216" s="1"/>
      <c r="AE216" s="1"/>
    </row>
    <row r="217" spans="1:31" ht="14.4" customHeight="1">
      <c r="A217" s="1"/>
      <c r="B217" s="274"/>
      <c r="C217" s="275"/>
      <c r="D217" s="276"/>
      <c r="E217" s="275"/>
      <c r="F217" s="276"/>
      <c r="G217" s="275"/>
      <c r="H217" s="276"/>
      <c r="I217" s="275"/>
      <c r="J217" s="276"/>
      <c r="K217" s="275"/>
      <c r="L217" s="276"/>
      <c r="M217" s="275"/>
      <c r="N217" s="276"/>
      <c r="O217" s="275"/>
      <c r="P217" s="276"/>
      <c r="Q217" s="275"/>
      <c r="R217" s="276"/>
      <c r="S217" s="275"/>
      <c r="T217" s="276"/>
      <c r="U217" s="275"/>
      <c r="V217" s="276"/>
      <c r="W217" s="275"/>
      <c r="X217" s="276"/>
      <c r="Y217" s="275"/>
      <c r="Z217" s="276"/>
      <c r="AA217" s="277"/>
      <c r="AB217" s="1"/>
      <c r="AC217" s="1"/>
      <c r="AD217" s="1"/>
      <c r="AE217" s="1"/>
    </row>
    <row r="218" spans="1:31" ht="14.4" customHeight="1">
      <c r="A218" s="1"/>
      <c r="B218" s="274"/>
      <c r="C218" s="275"/>
      <c r="D218" s="276"/>
      <c r="E218" s="275"/>
      <c r="F218" s="276"/>
      <c r="G218" s="275"/>
      <c r="H218" s="276"/>
      <c r="I218" s="275"/>
      <c r="J218" s="276"/>
      <c r="K218" s="275"/>
      <c r="L218" s="276"/>
      <c r="M218" s="275"/>
      <c r="N218" s="276"/>
      <c r="O218" s="275"/>
      <c r="P218" s="276"/>
      <c r="Q218" s="275"/>
      <c r="R218" s="276"/>
      <c r="S218" s="275"/>
      <c r="T218" s="276"/>
      <c r="U218" s="275"/>
      <c r="V218" s="276"/>
      <c r="W218" s="275"/>
      <c r="X218" s="276"/>
      <c r="Y218" s="275"/>
      <c r="Z218" s="276"/>
      <c r="AA218" s="277"/>
      <c r="AB218" s="1"/>
      <c r="AC218" s="1"/>
      <c r="AD218" s="1"/>
      <c r="AE218" s="1"/>
    </row>
    <row r="219" spans="1:31" ht="14.4" customHeight="1">
      <c r="A219" s="1"/>
      <c r="B219" s="274"/>
      <c r="C219" s="275"/>
      <c r="D219" s="276"/>
      <c r="E219" s="275"/>
      <c r="F219" s="276"/>
      <c r="G219" s="275"/>
      <c r="H219" s="276"/>
      <c r="I219" s="275"/>
      <c r="J219" s="276"/>
      <c r="K219" s="275"/>
      <c r="L219" s="276"/>
      <c r="M219" s="275"/>
      <c r="N219" s="276"/>
      <c r="O219" s="275"/>
      <c r="P219" s="276"/>
      <c r="Q219" s="275"/>
      <c r="R219" s="276"/>
      <c r="S219" s="275"/>
      <c r="T219" s="276"/>
      <c r="U219" s="275"/>
      <c r="V219" s="276"/>
      <c r="W219" s="275"/>
      <c r="X219" s="276"/>
      <c r="Y219" s="275"/>
      <c r="Z219" s="276"/>
      <c r="AA219" s="277"/>
      <c r="AB219" s="1"/>
      <c r="AC219" s="1"/>
      <c r="AD219" s="1"/>
      <c r="AE219" s="1"/>
    </row>
    <row r="220" spans="1:31" ht="14.4" customHeight="1">
      <c r="A220" s="1"/>
      <c r="B220" s="274"/>
      <c r="C220" s="275"/>
      <c r="D220" s="276"/>
      <c r="E220" s="275"/>
      <c r="F220" s="276"/>
      <c r="G220" s="275"/>
      <c r="H220" s="276"/>
      <c r="I220" s="275"/>
      <c r="J220" s="276"/>
      <c r="K220" s="275"/>
      <c r="L220" s="276"/>
      <c r="M220" s="275"/>
      <c r="N220" s="276"/>
      <c r="O220" s="275"/>
      <c r="P220" s="276"/>
      <c r="Q220" s="275"/>
      <c r="R220" s="276"/>
      <c r="S220" s="275"/>
      <c r="T220" s="276"/>
      <c r="U220" s="275"/>
      <c r="V220" s="276"/>
      <c r="W220" s="275"/>
      <c r="X220" s="276"/>
      <c r="Y220" s="275"/>
      <c r="Z220" s="276"/>
      <c r="AA220" s="277"/>
      <c r="AB220" s="1"/>
      <c r="AC220" s="1"/>
      <c r="AD220" s="1"/>
      <c r="AE220" s="1"/>
    </row>
    <row r="221" spans="1:31" ht="14.4" customHeight="1">
      <c r="A221" s="1"/>
      <c r="B221" s="274"/>
      <c r="C221" s="275"/>
      <c r="D221" s="276"/>
      <c r="E221" s="275"/>
      <c r="F221" s="276"/>
      <c r="G221" s="275"/>
      <c r="H221" s="276"/>
      <c r="I221" s="275"/>
      <c r="J221" s="276"/>
      <c r="K221" s="275"/>
      <c r="L221" s="276"/>
      <c r="M221" s="275"/>
      <c r="N221" s="276"/>
      <c r="O221" s="275"/>
      <c r="P221" s="276"/>
      <c r="Q221" s="275"/>
      <c r="R221" s="276"/>
      <c r="S221" s="275"/>
      <c r="T221" s="276"/>
      <c r="U221" s="275"/>
      <c r="V221" s="276"/>
      <c r="W221" s="275"/>
      <c r="X221" s="276"/>
      <c r="Y221" s="275"/>
      <c r="Z221" s="276"/>
      <c r="AA221" s="277"/>
      <c r="AB221" s="1"/>
      <c r="AC221" s="1"/>
      <c r="AD221" s="1"/>
      <c r="AE221" s="1"/>
    </row>
    <row r="222" spans="1:31" ht="14.4" customHeight="1">
      <c r="A222" s="1"/>
      <c r="B222" s="274"/>
      <c r="C222" s="275"/>
      <c r="D222" s="276"/>
      <c r="E222" s="275"/>
      <c r="F222" s="276"/>
      <c r="G222" s="275"/>
      <c r="H222" s="276"/>
      <c r="I222" s="275"/>
      <c r="J222" s="276"/>
      <c r="K222" s="275"/>
      <c r="L222" s="276"/>
      <c r="M222" s="275"/>
      <c r="N222" s="276"/>
      <c r="O222" s="275"/>
      <c r="P222" s="276"/>
      <c r="Q222" s="275"/>
      <c r="R222" s="276"/>
      <c r="S222" s="275"/>
      <c r="T222" s="276"/>
      <c r="U222" s="275"/>
      <c r="V222" s="276"/>
      <c r="W222" s="275"/>
      <c r="X222" s="276"/>
      <c r="Y222" s="275"/>
      <c r="Z222" s="276"/>
      <c r="AA222" s="277"/>
      <c r="AB222" s="1"/>
      <c r="AC222" s="1"/>
      <c r="AD222" s="1"/>
      <c r="AE222" s="1"/>
    </row>
    <row r="223" spans="1:31" ht="14.4" customHeight="1">
      <c r="A223" s="1"/>
      <c r="B223" s="274"/>
      <c r="C223" s="275"/>
      <c r="D223" s="276"/>
      <c r="E223" s="275"/>
      <c r="F223" s="276"/>
      <c r="G223" s="275"/>
      <c r="H223" s="276"/>
      <c r="I223" s="275"/>
      <c r="J223" s="276"/>
      <c r="K223" s="275"/>
      <c r="L223" s="276"/>
      <c r="M223" s="275"/>
      <c r="N223" s="276"/>
      <c r="O223" s="275"/>
      <c r="P223" s="276"/>
      <c r="Q223" s="275"/>
      <c r="R223" s="276"/>
      <c r="S223" s="275"/>
      <c r="T223" s="276"/>
      <c r="U223" s="275"/>
      <c r="V223" s="276"/>
      <c r="W223" s="275"/>
      <c r="X223" s="276"/>
      <c r="Y223" s="275"/>
      <c r="Z223" s="276"/>
      <c r="AA223" s="277"/>
      <c r="AB223" s="1"/>
      <c r="AC223" s="1"/>
      <c r="AD223" s="1"/>
      <c r="AE223" s="1"/>
    </row>
    <row r="224" spans="1:31" ht="14.4" customHeight="1">
      <c r="A224" s="1"/>
      <c r="B224" s="274"/>
      <c r="C224" s="275"/>
      <c r="D224" s="276"/>
      <c r="E224" s="275"/>
      <c r="F224" s="276"/>
      <c r="G224" s="275"/>
      <c r="H224" s="276"/>
      <c r="I224" s="275"/>
      <c r="J224" s="276"/>
      <c r="K224" s="275"/>
      <c r="L224" s="276"/>
      <c r="M224" s="275"/>
      <c r="N224" s="276"/>
      <c r="O224" s="275"/>
      <c r="P224" s="276"/>
      <c r="Q224" s="275"/>
      <c r="R224" s="276"/>
      <c r="S224" s="275"/>
      <c r="T224" s="276"/>
      <c r="U224" s="275"/>
      <c r="V224" s="276"/>
      <c r="W224" s="275"/>
      <c r="X224" s="276"/>
      <c r="Y224" s="275"/>
      <c r="Z224" s="276"/>
      <c r="AA224" s="277"/>
      <c r="AB224" s="1"/>
      <c r="AC224" s="1"/>
      <c r="AD224" s="1"/>
      <c r="AE224" s="1"/>
    </row>
    <row r="225" spans="1:31" ht="14.4" customHeight="1">
      <c r="A225" s="1"/>
      <c r="B225" s="274"/>
      <c r="C225" s="275"/>
      <c r="D225" s="276"/>
      <c r="E225" s="275"/>
      <c r="F225" s="276"/>
      <c r="G225" s="275"/>
      <c r="H225" s="276"/>
      <c r="I225" s="275"/>
      <c r="J225" s="276"/>
      <c r="K225" s="275"/>
      <c r="L225" s="276"/>
      <c r="M225" s="275"/>
      <c r="N225" s="276"/>
      <c r="O225" s="275"/>
      <c r="P225" s="276"/>
      <c r="Q225" s="275"/>
      <c r="R225" s="276"/>
      <c r="S225" s="275"/>
      <c r="T225" s="276"/>
      <c r="U225" s="275"/>
      <c r="V225" s="276"/>
      <c r="W225" s="275"/>
      <c r="X225" s="276"/>
      <c r="Y225" s="275"/>
      <c r="Z225" s="276"/>
      <c r="AA225" s="277"/>
      <c r="AB225" s="1"/>
      <c r="AC225" s="1"/>
      <c r="AD225" s="1"/>
      <c r="AE225" s="1"/>
    </row>
    <row r="226" spans="1:31" ht="14.4" customHeight="1">
      <c r="A226" s="1"/>
      <c r="B226" s="274"/>
      <c r="C226" s="275"/>
      <c r="D226" s="276"/>
      <c r="E226" s="275"/>
      <c r="F226" s="276"/>
      <c r="G226" s="275"/>
      <c r="H226" s="276"/>
      <c r="I226" s="275"/>
      <c r="J226" s="276"/>
      <c r="K226" s="275"/>
      <c r="L226" s="276"/>
      <c r="M226" s="275"/>
      <c r="N226" s="276"/>
      <c r="O226" s="275"/>
      <c r="P226" s="276"/>
      <c r="Q226" s="275"/>
      <c r="R226" s="276"/>
      <c r="S226" s="275"/>
      <c r="T226" s="276"/>
      <c r="U226" s="275"/>
      <c r="V226" s="276"/>
      <c r="W226" s="275"/>
      <c r="X226" s="276"/>
      <c r="Y226" s="275"/>
      <c r="Z226" s="276"/>
      <c r="AA226" s="277"/>
      <c r="AB226" s="1"/>
      <c r="AC226" s="1"/>
      <c r="AD226" s="1"/>
      <c r="AE226" s="1"/>
    </row>
    <row r="227" spans="1:31" ht="14.4" customHeight="1">
      <c r="A227" s="1"/>
      <c r="B227" s="274"/>
      <c r="C227" s="275"/>
      <c r="D227" s="276"/>
      <c r="E227" s="275"/>
      <c r="F227" s="276"/>
      <c r="G227" s="275"/>
      <c r="H227" s="276"/>
      <c r="I227" s="275"/>
      <c r="J227" s="276"/>
      <c r="K227" s="275"/>
      <c r="L227" s="276"/>
      <c r="M227" s="275"/>
      <c r="N227" s="276"/>
      <c r="O227" s="275"/>
      <c r="P227" s="276"/>
      <c r="Q227" s="275"/>
      <c r="R227" s="276"/>
      <c r="S227" s="275"/>
      <c r="T227" s="276"/>
      <c r="U227" s="275"/>
      <c r="V227" s="276"/>
      <c r="W227" s="275"/>
      <c r="X227" s="276"/>
      <c r="Y227" s="275"/>
      <c r="Z227" s="276"/>
      <c r="AA227" s="277"/>
      <c r="AB227" s="1"/>
      <c r="AC227" s="1"/>
      <c r="AD227" s="1"/>
      <c r="AE227" s="1"/>
    </row>
    <row r="228" spans="1:31" ht="14.4" customHeight="1">
      <c r="A228" s="1"/>
      <c r="B228" s="274"/>
      <c r="C228" s="275"/>
      <c r="D228" s="276"/>
      <c r="E228" s="275"/>
      <c r="F228" s="276"/>
      <c r="G228" s="275"/>
      <c r="H228" s="276"/>
      <c r="I228" s="275"/>
      <c r="J228" s="276"/>
      <c r="K228" s="275"/>
      <c r="L228" s="276"/>
      <c r="M228" s="275"/>
      <c r="N228" s="276"/>
      <c r="O228" s="275"/>
      <c r="P228" s="276"/>
      <c r="Q228" s="275"/>
      <c r="R228" s="276"/>
      <c r="S228" s="275"/>
      <c r="T228" s="276"/>
      <c r="U228" s="275"/>
      <c r="V228" s="276"/>
      <c r="W228" s="275"/>
      <c r="X228" s="276"/>
      <c r="Y228" s="275"/>
      <c r="Z228" s="276"/>
      <c r="AA228" s="277"/>
      <c r="AB228" s="1"/>
      <c r="AC228" s="1"/>
      <c r="AD228" s="1"/>
      <c r="AE228" s="1"/>
    </row>
    <row r="229" spans="1:31" ht="14.4" customHeight="1">
      <c r="A229" s="1"/>
      <c r="B229" s="274"/>
      <c r="C229" s="275"/>
      <c r="D229" s="276"/>
      <c r="E229" s="275"/>
      <c r="F229" s="276"/>
      <c r="G229" s="275"/>
      <c r="H229" s="276"/>
      <c r="I229" s="275"/>
      <c r="J229" s="276"/>
      <c r="K229" s="275"/>
      <c r="L229" s="276"/>
      <c r="M229" s="275"/>
      <c r="N229" s="276"/>
      <c r="O229" s="275"/>
      <c r="P229" s="276"/>
      <c r="Q229" s="275"/>
      <c r="R229" s="276"/>
      <c r="S229" s="275"/>
      <c r="T229" s="276"/>
      <c r="U229" s="275"/>
      <c r="V229" s="276"/>
      <c r="W229" s="275"/>
      <c r="X229" s="276"/>
      <c r="Y229" s="275"/>
      <c r="Z229" s="276"/>
      <c r="AA229" s="277"/>
      <c r="AB229" s="1"/>
      <c r="AC229" s="1"/>
      <c r="AD229" s="1"/>
      <c r="AE229" s="1"/>
    </row>
    <row r="230" spans="1:31" ht="14.4" customHeight="1">
      <c r="A230" s="1"/>
      <c r="B230" s="274"/>
      <c r="C230" s="275"/>
      <c r="D230" s="276"/>
      <c r="E230" s="275"/>
      <c r="F230" s="276"/>
      <c r="G230" s="275"/>
      <c r="H230" s="276"/>
      <c r="I230" s="275"/>
      <c r="J230" s="276"/>
      <c r="K230" s="275"/>
      <c r="L230" s="276"/>
      <c r="M230" s="275"/>
      <c r="N230" s="276"/>
      <c r="O230" s="275"/>
      <c r="P230" s="276"/>
      <c r="Q230" s="275"/>
      <c r="R230" s="276"/>
      <c r="S230" s="275"/>
      <c r="T230" s="276"/>
      <c r="U230" s="275"/>
      <c r="V230" s="276"/>
      <c r="W230" s="275"/>
      <c r="X230" s="276"/>
      <c r="Y230" s="275"/>
      <c r="Z230" s="276"/>
      <c r="AA230" s="277"/>
      <c r="AB230" s="1"/>
      <c r="AC230" s="1"/>
      <c r="AD230" s="1"/>
      <c r="AE230" s="1"/>
    </row>
    <row r="231" spans="1:31" ht="14.4" customHeight="1">
      <c r="A231" s="1"/>
      <c r="B231" s="274"/>
      <c r="C231" s="275"/>
      <c r="D231" s="276"/>
      <c r="E231" s="275"/>
      <c r="F231" s="276"/>
      <c r="G231" s="275"/>
      <c r="H231" s="276"/>
      <c r="I231" s="275"/>
      <c r="J231" s="276"/>
      <c r="K231" s="275"/>
      <c r="L231" s="276"/>
      <c r="M231" s="275"/>
      <c r="N231" s="276"/>
      <c r="O231" s="275"/>
      <c r="P231" s="276"/>
      <c r="Q231" s="275"/>
      <c r="R231" s="276"/>
      <c r="S231" s="275"/>
      <c r="T231" s="276"/>
      <c r="U231" s="275"/>
      <c r="V231" s="276"/>
      <c r="W231" s="275"/>
      <c r="X231" s="276"/>
      <c r="Y231" s="275"/>
      <c r="Z231" s="276"/>
      <c r="AA231" s="277"/>
      <c r="AB231" s="1"/>
      <c r="AC231" s="1"/>
      <c r="AD231" s="1"/>
      <c r="AE231" s="1"/>
    </row>
    <row r="232" spans="1:31" ht="14.4" customHeight="1">
      <c r="A232" s="1"/>
      <c r="B232" s="274"/>
      <c r="C232" s="275"/>
      <c r="D232" s="276"/>
      <c r="E232" s="275"/>
      <c r="F232" s="276"/>
      <c r="G232" s="275"/>
      <c r="H232" s="276"/>
      <c r="I232" s="275"/>
      <c r="J232" s="276"/>
      <c r="K232" s="275"/>
      <c r="L232" s="276"/>
      <c r="M232" s="275"/>
      <c r="N232" s="276"/>
      <c r="O232" s="275"/>
      <c r="P232" s="276"/>
      <c r="Q232" s="275"/>
      <c r="R232" s="276"/>
      <c r="S232" s="275"/>
      <c r="T232" s="276"/>
      <c r="U232" s="275"/>
      <c r="V232" s="276"/>
      <c r="W232" s="275"/>
      <c r="X232" s="276"/>
      <c r="Y232" s="275"/>
      <c r="Z232" s="276"/>
      <c r="AA232" s="277"/>
      <c r="AB232" s="1"/>
      <c r="AC232" s="1"/>
      <c r="AD232" s="1"/>
      <c r="AE232" s="1"/>
    </row>
    <row r="233" spans="1:31" ht="14.4" customHeight="1">
      <c r="A233" s="1"/>
      <c r="B233" s="274"/>
      <c r="C233" s="275"/>
      <c r="D233" s="276"/>
      <c r="E233" s="275"/>
      <c r="F233" s="276"/>
      <c r="G233" s="275"/>
      <c r="H233" s="276"/>
      <c r="I233" s="275"/>
      <c r="J233" s="276"/>
      <c r="K233" s="275"/>
      <c r="L233" s="276"/>
      <c r="M233" s="275"/>
      <c r="N233" s="276"/>
      <c r="O233" s="275"/>
      <c r="P233" s="276"/>
      <c r="Q233" s="275"/>
      <c r="R233" s="276"/>
      <c r="S233" s="275"/>
      <c r="T233" s="276"/>
      <c r="U233" s="275"/>
      <c r="V233" s="276"/>
      <c r="W233" s="275"/>
      <c r="X233" s="276"/>
      <c r="Y233" s="275"/>
      <c r="Z233" s="276"/>
      <c r="AA233" s="277"/>
      <c r="AB233" s="1"/>
      <c r="AC233" s="1"/>
      <c r="AD233" s="1"/>
      <c r="AE233" s="1"/>
    </row>
    <row r="234" spans="1:31" ht="14.4" customHeight="1">
      <c r="A234" s="1"/>
      <c r="B234" s="274"/>
      <c r="C234" s="275"/>
      <c r="D234" s="276"/>
      <c r="E234" s="275"/>
      <c r="F234" s="276"/>
      <c r="G234" s="275"/>
      <c r="H234" s="276"/>
      <c r="I234" s="275"/>
      <c r="J234" s="276"/>
      <c r="K234" s="275"/>
      <c r="L234" s="276"/>
      <c r="M234" s="275"/>
      <c r="N234" s="276"/>
      <c r="O234" s="275"/>
      <c r="P234" s="276"/>
      <c r="Q234" s="275"/>
      <c r="R234" s="276"/>
      <c r="S234" s="275"/>
      <c r="T234" s="276"/>
      <c r="U234" s="275"/>
      <c r="V234" s="276"/>
      <c r="W234" s="275"/>
      <c r="X234" s="276"/>
      <c r="Y234" s="275"/>
      <c r="Z234" s="276"/>
      <c r="AA234" s="277"/>
      <c r="AB234" s="1"/>
      <c r="AC234" s="1"/>
      <c r="AD234" s="1"/>
      <c r="AE234" s="1"/>
    </row>
    <row r="235" spans="1:31" ht="14.4" customHeight="1">
      <c r="A235" s="1"/>
      <c r="B235" s="274"/>
      <c r="C235" s="275"/>
      <c r="D235" s="276"/>
      <c r="E235" s="275"/>
      <c r="F235" s="276"/>
      <c r="G235" s="275"/>
      <c r="H235" s="276"/>
      <c r="I235" s="275"/>
      <c r="J235" s="276"/>
      <c r="K235" s="275"/>
      <c r="L235" s="276"/>
      <c r="M235" s="275"/>
      <c r="N235" s="276"/>
      <c r="O235" s="275"/>
      <c r="P235" s="276"/>
      <c r="Q235" s="275"/>
      <c r="R235" s="276"/>
      <c r="S235" s="275"/>
      <c r="T235" s="276"/>
      <c r="U235" s="275"/>
      <c r="V235" s="276"/>
      <c r="W235" s="275"/>
      <c r="X235" s="276"/>
      <c r="Y235" s="275"/>
      <c r="Z235" s="276"/>
      <c r="AA235" s="277"/>
      <c r="AB235" s="1"/>
      <c r="AC235" s="1"/>
      <c r="AD235" s="1"/>
      <c r="AE235" s="1"/>
    </row>
    <row r="236" spans="1:31" ht="14.4" customHeight="1">
      <c r="A236" s="1"/>
      <c r="B236" s="274"/>
      <c r="C236" s="275"/>
      <c r="D236" s="276"/>
      <c r="E236" s="275"/>
      <c r="F236" s="276"/>
      <c r="G236" s="275"/>
      <c r="H236" s="276"/>
      <c r="I236" s="275"/>
      <c r="J236" s="276"/>
      <c r="K236" s="275"/>
      <c r="L236" s="276"/>
      <c r="M236" s="275"/>
      <c r="N236" s="276"/>
      <c r="O236" s="275"/>
      <c r="P236" s="276"/>
      <c r="Q236" s="275"/>
      <c r="R236" s="276"/>
      <c r="S236" s="275"/>
      <c r="T236" s="276"/>
      <c r="U236" s="275"/>
      <c r="V236" s="276"/>
      <c r="W236" s="275"/>
      <c r="X236" s="276"/>
      <c r="Y236" s="275"/>
      <c r="Z236" s="276"/>
      <c r="AA236" s="277"/>
      <c r="AB236" s="1"/>
      <c r="AC236" s="1"/>
      <c r="AD236" s="1"/>
      <c r="AE236" s="1"/>
    </row>
    <row r="237" spans="1:31" ht="14.4" customHeight="1">
      <c r="A237" s="1"/>
      <c r="B237" s="274"/>
      <c r="C237" s="275"/>
      <c r="D237" s="276"/>
      <c r="E237" s="275"/>
      <c r="F237" s="276"/>
      <c r="G237" s="275"/>
      <c r="H237" s="276"/>
      <c r="I237" s="275"/>
      <c r="J237" s="276"/>
      <c r="K237" s="275"/>
      <c r="L237" s="276"/>
      <c r="M237" s="275"/>
      <c r="N237" s="276"/>
      <c r="O237" s="275"/>
      <c r="P237" s="276"/>
      <c r="Q237" s="275"/>
      <c r="R237" s="276"/>
      <c r="S237" s="275"/>
      <c r="T237" s="276"/>
      <c r="U237" s="275"/>
      <c r="V237" s="276"/>
      <c r="W237" s="275"/>
      <c r="X237" s="276"/>
      <c r="Y237" s="275"/>
      <c r="Z237" s="276"/>
      <c r="AA237" s="277"/>
      <c r="AB237" s="1"/>
      <c r="AC237" s="1"/>
      <c r="AD237" s="1"/>
      <c r="AE237" s="1"/>
    </row>
    <row r="238" spans="1:31" ht="14.4" customHeight="1">
      <c r="A238" s="1"/>
      <c r="B238" s="274"/>
      <c r="C238" s="275"/>
      <c r="D238" s="276"/>
      <c r="E238" s="275"/>
      <c r="F238" s="276"/>
      <c r="G238" s="275"/>
      <c r="H238" s="276"/>
      <c r="I238" s="275"/>
      <c r="J238" s="276"/>
      <c r="K238" s="275"/>
      <c r="L238" s="276"/>
      <c r="M238" s="275"/>
      <c r="N238" s="276"/>
      <c r="O238" s="275"/>
      <c r="P238" s="276"/>
      <c r="Q238" s="275"/>
      <c r="R238" s="276"/>
      <c r="S238" s="275"/>
      <c r="T238" s="276"/>
      <c r="U238" s="275"/>
      <c r="V238" s="276"/>
      <c r="W238" s="275"/>
      <c r="X238" s="276"/>
      <c r="Y238" s="275"/>
      <c r="Z238" s="276"/>
      <c r="AA238" s="277"/>
      <c r="AB238" s="1"/>
      <c r="AC238" s="1"/>
      <c r="AD238" s="1"/>
      <c r="AE238" s="1"/>
    </row>
    <row r="239" spans="1:31" ht="14.4" customHeight="1">
      <c r="A239" s="1"/>
      <c r="B239" s="274"/>
      <c r="C239" s="275"/>
      <c r="D239" s="276"/>
      <c r="E239" s="275"/>
      <c r="F239" s="276"/>
      <c r="G239" s="275"/>
      <c r="H239" s="276"/>
      <c r="I239" s="275"/>
      <c r="J239" s="276"/>
      <c r="K239" s="275"/>
      <c r="L239" s="276"/>
      <c r="M239" s="275"/>
      <c r="N239" s="276"/>
      <c r="O239" s="275"/>
      <c r="P239" s="276"/>
      <c r="Q239" s="275"/>
      <c r="R239" s="276"/>
      <c r="S239" s="275"/>
      <c r="T239" s="276"/>
      <c r="U239" s="275"/>
      <c r="V239" s="276"/>
      <c r="W239" s="275"/>
      <c r="X239" s="276"/>
      <c r="Y239" s="275"/>
      <c r="Z239" s="276"/>
      <c r="AA239" s="277"/>
      <c r="AB239" s="1"/>
      <c r="AC239" s="1"/>
      <c r="AD239" s="1"/>
      <c r="AE239" s="1"/>
    </row>
    <row r="240" spans="1:31" ht="14.4" customHeight="1">
      <c r="A240" s="1"/>
      <c r="B240" s="274"/>
      <c r="C240" s="275"/>
      <c r="D240" s="276"/>
      <c r="E240" s="275"/>
      <c r="F240" s="276"/>
      <c r="G240" s="275"/>
      <c r="H240" s="276"/>
      <c r="I240" s="275"/>
      <c r="J240" s="276"/>
      <c r="K240" s="275"/>
      <c r="L240" s="276"/>
      <c r="M240" s="275"/>
      <c r="N240" s="276"/>
      <c r="O240" s="275"/>
      <c r="P240" s="276"/>
      <c r="Q240" s="275"/>
      <c r="R240" s="276"/>
      <c r="S240" s="275"/>
      <c r="T240" s="276"/>
      <c r="U240" s="275"/>
      <c r="V240" s="276"/>
      <c r="W240" s="275"/>
      <c r="X240" s="276"/>
      <c r="Y240" s="275"/>
      <c r="Z240" s="276"/>
      <c r="AA240" s="277"/>
      <c r="AB240" s="1"/>
      <c r="AC240" s="1"/>
      <c r="AD240" s="1"/>
      <c r="AE240" s="1"/>
    </row>
    <row r="241" spans="1:31" ht="14.4" customHeight="1">
      <c r="A241" s="1"/>
      <c r="B241" s="274"/>
      <c r="C241" s="275"/>
      <c r="D241" s="276"/>
      <c r="E241" s="275"/>
      <c r="F241" s="276"/>
      <c r="G241" s="275"/>
      <c r="H241" s="276"/>
      <c r="I241" s="275"/>
      <c r="J241" s="276"/>
      <c r="K241" s="275"/>
      <c r="L241" s="276"/>
      <c r="M241" s="275"/>
      <c r="N241" s="276"/>
      <c r="O241" s="275"/>
      <c r="P241" s="276"/>
      <c r="Q241" s="275"/>
      <c r="R241" s="276"/>
      <c r="S241" s="275"/>
      <c r="T241" s="276"/>
      <c r="U241" s="275"/>
      <c r="V241" s="276"/>
      <c r="W241" s="275"/>
      <c r="X241" s="276"/>
      <c r="Y241" s="275"/>
      <c r="Z241" s="276"/>
      <c r="AA241" s="277"/>
      <c r="AB241" s="1"/>
      <c r="AC241" s="1"/>
      <c r="AD241" s="1"/>
      <c r="AE241" s="1"/>
    </row>
    <row r="242" spans="1:31" ht="14.4" customHeight="1">
      <c r="A242" s="1"/>
      <c r="B242" s="274"/>
      <c r="C242" s="275"/>
      <c r="D242" s="276"/>
      <c r="E242" s="275"/>
      <c r="F242" s="276"/>
      <c r="G242" s="275"/>
      <c r="H242" s="276"/>
      <c r="I242" s="275"/>
      <c r="J242" s="276"/>
      <c r="K242" s="275"/>
      <c r="L242" s="276"/>
      <c r="M242" s="275"/>
      <c r="N242" s="276"/>
      <c r="O242" s="275"/>
      <c r="P242" s="276"/>
      <c r="Q242" s="275"/>
      <c r="R242" s="276"/>
      <c r="S242" s="275"/>
      <c r="T242" s="276"/>
      <c r="U242" s="275"/>
      <c r="V242" s="276"/>
      <c r="W242" s="275"/>
      <c r="X242" s="276"/>
      <c r="Y242" s="275"/>
      <c r="Z242" s="276"/>
      <c r="AA242" s="277"/>
      <c r="AB242" s="1"/>
      <c r="AC242" s="1"/>
      <c r="AD242" s="1"/>
      <c r="AE242" s="1"/>
    </row>
    <row r="243" spans="1:31" ht="14.4" customHeight="1">
      <c r="A243" s="1"/>
      <c r="B243" s="274"/>
      <c r="C243" s="275"/>
      <c r="D243" s="276"/>
      <c r="E243" s="275"/>
      <c r="F243" s="276"/>
      <c r="G243" s="275"/>
      <c r="H243" s="276"/>
      <c r="I243" s="275"/>
      <c r="J243" s="276"/>
      <c r="K243" s="275"/>
      <c r="L243" s="276"/>
      <c r="M243" s="275"/>
      <c r="N243" s="276"/>
      <c r="O243" s="275"/>
      <c r="P243" s="276"/>
      <c r="Q243" s="275"/>
      <c r="R243" s="276"/>
      <c r="S243" s="275"/>
      <c r="T243" s="276"/>
      <c r="U243" s="275"/>
      <c r="V243" s="276"/>
      <c r="W243" s="275"/>
      <c r="X243" s="276"/>
      <c r="Y243" s="275"/>
      <c r="Z243" s="276"/>
      <c r="AA243" s="277"/>
      <c r="AB243" s="1"/>
      <c r="AC243" s="1"/>
      <c r="AD243" s="1"/>
      <c r="AE243" s="1"/>
    </row>
    <row r="244" spans="1:31" ht="14.4" customHeight="1">
      <c r="A244" s="1"/>
      <c r="B244" s="274"/>
      <c r="C244" s="275"/>
      <c r="D244" s="276"/>
      <c r="E244" s="275"/>
      <c r="F244" s="276"/>
      <c r="G244" s="275"/>
      <c r="H244" s="276"/>
      <c r="I244" s="275"/>
      <c r="J244" s="276"/>
      <c r="K244" s="275"/>
      <c r="L244" s="276"/>
      <c r="M244" s="275"/>
      <c r="N244" s="276"/>
      <c r="O244" s="275"/>
      <c r="P244" s="276"/>
      <c r="Q244" s="275"/>
      <c r="R244" s="276"/>
      <c r="S244" s="275"/>
      <c r="T244" s="276"/>
      <c r="U244" s="275"/>
      <c r="V244" s="276"/>
      <c r="W244" s="275"/>
      <c r="X244" s="276"/>
      <c r="Y244" s="275"/>
      <c r="Z244" s="276"/>
      <c r="AA244" s="277"/>
      <c r="AB244" s="1"/>
      <c r="AC244" s="1"/>
      <c r="AD244" s="1"/>
      <c r="AE244" s="1"/>
    </row>
    <row r="245" spans="1:31" ht="14.4" customHeight="1">
      <c r="A245" s="1"/>
      <c r="B245" s="274"/>
      <c r="C245" s="275"/>
      <c r="D245" s="276"/>
      <c r="E245" s="275"/>
      <c r="F245" s="276"/>
      <c r="G245" s="275"/>
      <c r="H245" s="276"/>
      <c r="I245" s="275"/>
      <c r="J245" s="276"/>
      <c r="K245" s="275"/>
      <c r="L245" s="276"/>
      <c r="M245" s="275"/>
      <c r="N245" s="276"/>
      <c r="O245" s="275"/>
      <c r="P245" s="276"/>
      <c r="Q245" s="275"/>
      <c r="R245" s="276"/>
      <c r="S245" s="275"/>
      <c r="T245" s="276"/>
      <c r="U245" s="275"/>
      <c r="V245" s="276"/>
      <c r="W245" s="275"/>
      <c r="X245" s="276"/>
      <c r="Y245" s="275"/>
      <c r="Z245" s="276"/>
      <c r="AA245" s="277"/>
      <c r="AB245" s="1"/>
      <c r="AC245" s="1"/>
      <c r="AD245" s="1"/>
      <c r="AE245" s="1"/>
    </row>
    <row r="246" spans="1:31" ht="14.4" customHeight="1">
      <c r="A246" s="1"/>
      <c r="B246" s="274"/>
      <c r="C246" s="278"/>
      <c r="D246" s="276"/>
      <c r="E246" s="275"/>
      <c r="F246" s="276"/>
      <c r="G246" s="275"/>
      <c r="H246" s="276"/>
      <c r="I246" s="275"/>
      <c r="J246" s="276"/>
      <c r="K246" s="275"/>
      <c r="L246" s="276"/>
      <c r="M246" s="275"/>
      <c r="N246" s="276"/>
      <c r="O246" s="278"/>
      <c r="P246" s="276"/>
      <c r="Q246" s="275"/>
      <c r="R246" s="276"/>
      <c r="S246" s="275"/>
      <c r="T246" s="276"/>
      <c r="U246" s="275"/>
      <c r="V246" s="276"/>
      <c r="W246" s="275"/>
      <c r="X246" s="276"/>
      <c r="Y246" s="275"/>
      <c r="Z246" s="276"/>
      <c r="AA246" s="277"/>
      <c r="AB246" s="1"/>
      <c r="AC246" s="1"/>
      <c r="AD246" s="1"/>
      <c r="AE246" s="1"/>
    </row>
    <row r="247" spans="1:31" ht="14.4" customHeight="1">
      <c r="A247" s="1"/>
      <c r="B247" s="274"/>
      <c r="C247" s="275"/>
      <c r="D247" s="276"/>
      <c r="E247" s="275"/>
      <c r="F247" s="276"/>
      <c r="G247" s="275"/>
      <c r="H247" s="276"/>
      <c r="I247" s="275"/>
      <c r="J247" s="276"/>
      <c r="K247" s="275"/>
      <c r="L247" s="276"/>
      <c r="M247" s="275"/>
      <c r="N247" s="276"/>
      <c r="O247" s="275"/>
      <c r="P247" s="276"/>
      <c r="Q247" s="275"/>
      <c r="R247" s="276"/>
      <c r="S247" s="275"/>
      <c r="T247" s="276"/>
      <c r="U247" s="275"/>
      <c r="V247" s="276"/>
      <c r="W247" s="275"/>
      <c r="X247" s="276"/>
      <c r="Y247" s="275"/>
      <c r="Z247" s="276"/>
      <c r="AA247" s="277"/>
      <c r="AB247" s="1"/>
      <c r="AC247" s="1"/>
      <c r="AD247" s="1"/>
      <c r="AE247" s="1"/>
    </row>
    <row r="248" spans="1:31" ht="14.4" customHeight="1">
      <c r="A248" s="1"/>
      <c r="B248" s="274"/>
      <c r="C248" s="275"/>
      <c r="D248" s="276"/>
      <c r="E248" s="275"/>
      <c r="F248" s="276"/>
      <c r="G248" s="275"/>
      <c r="H248" s="276"/>
      <c r="I248" s="275"/>
      <c r="J248" s="276"/>
      <c r="K248" s="275"/>
      <c r="L248" s="276"/>
      <c r="M248" s="275"/>
      <c r="N248" s="276"/>
      <c r="O248" s="275"/>
      <c r="P248" s="276"/>
      <c r="Q248" s="275"/>
      <c r="R248" s="276"/>
      <c r="S248" s="275"/>
      <c r="T248" s="276"/>
      <c r="U248" s="275"/>
      <c r="V248" s="276"/>
      <c r="W248" s="275"/>
      <c r="X248" s="276"/>
      <c r="Y248" s="275"/>
      <c r="Z248" s="276"/>
      <c r="AA248" s="277"/>
      <c r="AB248" s="1"/>
      <c r="AC248" s="1"/>
      <c r="AD248" s="1"/>
      <c r="AE248" s="1"/>
    </row>
    <row r="249" spans="1:31" ht="14.4" customHeight="1">
      <c r="A249" s="1"/>
      <c r="B249" s="274"/>
      <c r="C249" s="275"/>
      <c r="D249" s="276"/>
      <c r="E249" s="275"/>
      <c r="F249" s="276"/>
      <c r="G249" s="275"/>
      <c r="H249" s="276"/>
      <c r="I249" s="275"/>
      <c r="J249" s="276"/>
      <c r="K249" s="275"/>
      <c r="L249" s="276"/>
      <c r="M249" s="275"/>
      <c r="N249" s="276"/>
      <c r="O249" s="275"/>
      <c r="P249" s="276"/>
      <c r="Q249" s="275"/>
      <c r="R249" s="276"/>
      <c r="S249" s="275"/>
      <c r="T249" s="276"/>
      <c r="U249" s="275"/>
      <c r="V249" s="276"/>
      <c r="W249" s="275"/>
      <c r="X249" s="276"/>
      <c r="Y249" s="275"/>
      <c r="Z249" s="276"/>
      <c r="AA249" s="277"/>
      <c r="AB249" s="1"/>
      <c r="AC249" s="1"/>
      <c r="AD249" s="1"/>
      <c r="AE249" s="1"/>
    </row>
    <row r="250" spans="1:31" ht="14.4" customHeight="1">
      <c r="A250" s="1"/>
      <c r="B250" s="274"/>
      <c r="C250" s="275"/>
      <c r="D250" s="276"/>
      <c r="E250" s="275"/>
      <c r="F250" s="276"/>
      <c r="G250" s="275"/>
      <c r="H250" s="276"/>
      <c r="I250" s="275"/>
      <c r="J250" s="276"/>
      <c r="K250" s="275"/>
      <c r="L250" s="276"/>
      <c r="M250" s="275"/>
      <c r="N250" s="276"/>
      <c r="O250" s="275"/>
      <c r="P250" s="276"/>
      <c r="Q250" s="275"/>
      <c r="R250" s="276"/>
      <c r="S250" s="275"/>
      <c r="T250" s="276"/>
      <c r="U250" s="275"/>
      <c r="V250" s="276"/>
      <c r="W250" s="275"/>
      <c r="X250" s="276"/>
      <c r="Y250" s="275"/>
      <c r="Z250" s="276"/>
      <c r="AA250" s="277"/>
      <c r="AB250" s="1"/>
      <c r="AC250" s="1"/>
      <c r="AD250" s="1"/>
      <c r="AE250" s="1"/>
    </row>
    <row r="251" spans="1:31" ht="14.4" customHeight="1">
      <c r="A251" s="1"/>
      <c r="B251" s="274"/>
      <c r="C251" s="275"/>
      <c r="D251" s="276"/>
      <c r="E251" s="275"/>
      <c r="F251" s="276"/>
      <c r="G251" s="275"/>
      <c r="H251" s="276"/>
      <c r="I251" s="275"/>
      <c r="J251" s="276"/>
      <c r="K251" s="275"/>
      <c r="L251" s="276"/>
      <c r="M251" s="275"/>
      <c r="N251" s="276"/>
      <c r="O251" s="275"/>
      <c r="P251" s="276"/>
      <c r="Q251" s="275"/>
      <c r="R251" s="276"/>
      <c r="S251" s="275"/>
      <c r="T251" s="276"/>
      <c r="U251" s="275"/>
      <c r="V251" s="276"/>
      <c r="W251" s="275"/>
      <c r="X251" s="276"/>
      <c r="Y251" s="275"/>
      <c r="Z251" s="276"/>
      <c r="AA251" s="277"/>
      <c r="AB251" s="1"/>
      <c r="AC251" s="1"/>
      <c r="AD251" s="1"/>
      <c r="AE251" s="1"/>
    </row>
    <row r="252" spans="1:31" ht="14.4" customHeight="1">
      <c r="A252" s="1"/>
      <c r="B252" s="274"/>
      <c r="C252" s="283"/>
      <c r="D252" s="276"/>
      <c r="E252" s="275"/>
      <c r="F252" s="276"/>
      <c r="G252" s="275"/>
      <c r="H252" s="276"/>
      <c r="I252" s="275"/>
      <c r="J252" s="276"/>
      <c r="K252" s="275"/>
      <c r="L252" s="276"/>
      <c r="M252" s="275"/>
      <c r="N252" s="276"/>
      <c r="O252" s="275"/>
      <c r="P252" s="276"/>
      <c r="Q252" s="275"/>
      <c r="R252" s="276"/>
      <c r="S252" s="275"/>
      <c r="T252" s="276"/>
      <c r="U252" s="275"/>
      <c r="V252" s="276"/>
      <c r="W252" s="275"/>
      <c r="X252" s="276"/>
      <c r="Y252" s="275"/>
      <c r="Z252" s="276"/>
      <c r="AA252" s="277"/>
      <c r="AB252" s="1"/>
      <c r="AC252" s="1"/>
      <c r="AD252" s="1"/>
      <c r="AE252" s="1"/>
    </row>
    <row r="253" spans="1:31" ht="14.4" customHeight="1">
      <c r="A253" s="1"/>
      <c r="B253" s="274"/>
      <c r="C253" s="275"/>
      <c r="D253" s="276"/>
      <c r="E253" s="275"/>
      <c r="F253" s="276"/>
      <c r="G253" s="275"/>
      <c r="H253" s="276"/>
      <c r="I253" s="275"/>
      <c r="J253" s="276"/>
      <c r="K253" s="275"/>
      <c r="L253" s="276"/>
      <c r="M253" s="275"/>
      <c r="N253" s="276"/>
      <c r="O253" s="275"/>
      <c r="P253" s="276"/>
      <c r="Q253" s="275"/>
      <c r="R253" s="276"/>
      <c r="S253" s="275"/>
      <c r="T253" s="276"/>
      <c r="U253" s="275"/>
      <c r="V253" s="276"/>
      <c r="W253" s="275"/>
      <c r="X253" s="276"/>
      <c r="Y253" s="275"/>
      <c r="Z253" s="276"/>
      <c r="AA253" s="277"/>
      <c r="AB253" s="1"/>
      <c r="AC253" s="1"/>
      <c r="AD253" s="1"/>
      <c r="AE253" s="1"/>
    </row>
    <row r="254" spans="1:31" ht="14.4" customHeight="1">
      <c r="A254" s="1"/>
      <c r="B254" s="274"/>
      <c r="C254" s="275"/>
      <c r="D254" s="276"/>
      <c r="E254" s="275"/>
      <c r="F254" s="276"/>
      <c r="G254" s="275"/>
      <c r="H254" s="276"/>
      <c r="I254" s="275"/>
      <c r="J254" s="276"/>
      <c r="K254" s="275"/>
      <c r="L254" s="276"/>
      <c r="M254" s="275"/>
      <c r="N254" s="276"/>
      <c r="O254" s="275"/>
      <c r="P254" s="276"/>
      <c r="Q254" s="275"/>
      <c r="R254" s="276"/>
      <c r="S254" s="275"/>
      <c r="T254" s="276"/>
      <c r="U254" s="275"/>
      <c r="V254" s="276"/>
      <c r="W254" s="275"/>
      <c r="X254" s="276"/>
      <c r="Y254" s="275"/>
      <c r="Z254" s="276"/>
      <c r="AA254" s="277"/>
      <c r="AB254" s="1"/>
      <c r="AC254" s="1"/>
      <c r="AD254" s="1"/>
      <c r="AE254" s="1"/>
    </row>
    <row r="255" spans="1:31" ht="14.4" customHeight="1">
      <c r="A255" s="1"/>
      <c r="B255" s="274"/>
      <c r="C255" s="275"/>
      <c r="D255" s="276"/>
      <c r="E255" s="275"/>
      <c r="F255" s="276"/>
      <c r="G255" s="275"/>
      <c r="H255" s="276"/>
      <c r="I255" s="275"/>
      <c r="J255" s="276"/>
      <c r="K255" s="275"/>
      <c r="L255" s="276"/>
      <c r="M255" s="275"/>
      <c r="N255" s="276"/>
      <c r="O255" s="275"/>
      <c r="P255" s="276"/>
      <c r="Q255" s="275"/>
      <c r="R255" s="276"/>
      <c r="S255" s="275"/>
      <c r="T255" s="276"/>
      <c r="U255" s="275"/>
      <c r="V255" s="276"/>
      <c r="W255" s="275"/>
      <c r="X255" s="276"/>
      <c r="Y255" s="275"/>
      <c r="Z255" s="276"/>
      <c r="AA255" s="277"/>
      <c r="AB255" s="1"/>
      <c r="AC255" s="1"/>
      <c r="AD255" s="1"/>
      <c r="AE255" s="1"/>
    </row>
    <row r="256" spans="1:31" ht="15.6" customHeight="1">
      <c r="A256" s="1"/>
      <c r="B256" s="279"/>
      <c r="C256" s="280"/>
      <c r="D256" s="281"/>
      <c r="E256" s="280"/>
      <c r="F256" s="281"/>
      <c r="G256" s="280"/>
      <c r="H256" s="281"/>
      <c r="I256" s="280"/>
      <c r="J256" s="281"/>
      <c r="K256" s="280"/>
      <c r="L256" s="281"/>
      <c r="M256" s="280"/>
      <c r="N256" s="281"/>
      <c r="O256" s="280"/>
      <c r="P256" s="281"/>
      <c r="Q256" s="280"/>
      <c r="R256" s="281"/>
      <c r="S256" s="280"/>
      <c r="T256" s="281"/>
      <c r="U256" s="280"/>
      <c r="V256" s="281"/>
      <c r="W256" s="280"/>
      <c r="X256" s="281"/>
      <c r="Y256" s="280"/>
      <c r="Z256" s="281"/>
      <c r="AA256" s="282"/>
      <c r="AB256" s="1"/>
      <c r="AC256" s="1"/>
      <c r="AD256" s="1"/>
      <c r="AE256" s="1"/>
    </row>
    <row r="257" spans="1:31"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4.4"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4.4"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4.4"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4.4"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4.4"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4.4"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4.4"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4.4"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4.4"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4.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4.4"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4.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4.4"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4.4"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4.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4.4"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4.4"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4.4"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4.4"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4.4"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4.4"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4.4"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4.4"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4.4"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4.4"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4.4"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4.4"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4.4"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4.4"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4.4"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4.4"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4.4"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4.4"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4.4"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4.4"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4.4"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4.4"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4.4"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4.4"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4.4"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4.4"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4.4"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4.4"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4.4"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4.4"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4.4"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4.4"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4.4"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4.4"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4.4"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4.4"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4.4"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4.4"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4.4"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4.4"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4.4"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4.4"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4.4"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4.4"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4.4"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4.4"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4.4"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4.4"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4.4"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4.4"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4.4"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4.4"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4.4"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4.4"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4.4"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4.4"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4.4"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4.4"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4.4"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4.4"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4.4"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4.4"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4.4"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4.4"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4.4"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4.4"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4.4"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4.4"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4.4"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4.4"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4.4"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4.4"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4.4"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4.4"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4.4"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4.4"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4.4"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4.4"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4.4"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4.4"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4.4"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4.4"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4.4"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4.4"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4.4"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4.4"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4.4"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4.4"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4.4"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4.4"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4.4"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4.4"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4.4"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4.4"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4.4"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4.4"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4.4"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4.4"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4.4"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4.4"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4.4"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4.4"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4.4"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4.4"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4.4"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4.4"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4.4"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4.4"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4.4"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4.4"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4.4"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4.4"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4.4"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4.4"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4.4"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4.4"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4.4"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4.4"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4.4"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4.4"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4.4"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sheetData>
  <mergeCells count="40">
    <mergeCell ref="E198:F198"/>
    <mergeCell ref="Q76:R76"/>
    <mergeCell ref="S76:T76"/>
    <mergeCell ref="Y76:Z76"/>
    <mergeCell ref="I137:J137"/>
    <mergeCell ref="U137:V137"/>
    <mergeCell ref="K137:L137"/>
    <mergeCell ref="U76:V76"/>
    <mergeCell ref="AA137:AA138"/>
    <mergeCell ref="W76:X76"/>
    <mergeCell ref="C137:D137"/>
    <mergeCell ref="E137:F137"/>
    <mergeCell ref="G137:H137"/>
    <mergeCell ref="M137:N137"/>
    <mergeCell ref="AA76:AA77"/>
    <mergeCell ref="B4:D4"/>
    <mergeCell ref="Q137:R137"/>
    <mergeCell ref="S137:T137"/>
    <mergeCell ref="O198:P198"/>
    <mergeCell ref="M198:N198"/>
    <mergeCell ref="H4:J4"/>
    <mergeCell ref="B16:B17"/>
    <mergeCell ref="O137:P137"/>
    <mergeCell ref="B137:B138"/>
    <mergeCell ref="B136:AA136"/>
    <mergeCell ref="C198:D198"/>
    <mergeCell ref="B198:B199"/>
    <mergeCell ref="AA198:AA199"/>
    <mergeCell ref="Y198:Z198"/>
    <mergeCell ref="B197:AA197"/>
    <mergeCell ref="B18:B19"/>
    <mergeCell ref="G198:H198"/>
    <mergeCell ref="Y137:Z137"/>
    <mergeCell ref="Q198:R198"/>
    <mergeCell ref="W137:X137"/>
    <mergeCell ref="I198:J198"/>
    <mergeCell ref="S198:T198"/>
    <mergeCell ref="U198:V198"/>
    <mergeCell ref="K198:L198"/>
    <mergeCell ref="W198:X198"/>
  </mergeCells>
  <pageMargins left="0.7" right="0.7" top="0.75" bottom="0.75" header="0" footer="0"/>
  <pageSetup paperSize="9" orientation="portrait"/>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20"/>
  <sheetViews>
    <sheetView zoomScale="85" zoomScaleNormal="85" workbookViewId="0">
      <pane ySplit="1" topLeftCell="A2" activePane="bottomLeft" state="frozen"/>
      <selection pane="bottomLeft"/>
    </sheetView>
  </sheetViews>
  <sheetFormatPr defaultColWidth="12.59765625" defaultRowHeight="15" customHeight="1"/>
  <cols>
    <col min="1" max="1" width="40" customWidth="1"/>
    <col min="2" max="4" width="16" customWidth="1"/>
    <col min="5" max="26" width="56" customWidth="1"/>
  </cols>
  <sheetData>
    <row r="1" spans="1:26" ht="46.2" customHeight="1">
      <c r="A1" s="8"/>
      <c r="B1" s="8"/>
      <c r="C1" s="8"/>
      <c r="D1" s="8"/>
      <c r="E1" s="8"/>
      <c r="F1" s="468" t="s">
        <v>14</v>
      </c>
      <c r="G1" s="202"/>
      <c r="H1" s="202"/>
      <c r="I1" s="8"/>
      <c r="J1" s="8"/>
      <c r="K1" s="8"/>
      <c r="L1" s="8"/>
      <c r="M1" s="8"/>
      <c r="N1" s="8"/>
      <c r="O1" s="8"/>
      <c r="P1" s="1"/>
      <c r="Q1" s="1"/>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753" t="s">
        <v>72</v>
      </c>
      <c r="C3" s="754"/>
      <c r="D3" s="755"/>
      <c r="E3" s="1"/>
      <c r="F3" s="1"/>
      <c r="G3" s="1"/>
      <c r="H3" s="1"/>
      <c r="I3" s="1"/>
      <c r="J3" s="1"/>
      <c r="K3" s="1"/>
      <c r="L3" s="1"/>
      <c r="M3" s="1"/>
      <c r="N3" s="1"/>
      <c r="O3" s="1"/>
      <c r="P3" s="1"/>
      <c r="Q3" s="1"/>
      <c r="R3" s="1"/>
      <c r="S3" s="1"/>
      <c r="T3" s="1"/>
      <c r="U3" s="1"/>
      <c r="V3" s="1"/>
      <c r="W3" s="1"/>
      <c r="X3" s="1"/>
      <c r="Y3" s="1"/>
      <c r="Z3" s="1"/>
    </row>
    <row r="4" spans="1:26" ht="15" customHeight="1">
      <c r="A4" s="1"/>
      <c r="B4" s="470">
        <v>2026</v>
      </c>
      <c r="C4" s="470">
        <v>2027</v>
      </c>
      <c r="D4" s="470">
        <v>2028</v>
      </c>
      <c r="E4" s="1"/>
      <c r="F4" s="1"/>
      <c r="G4" s="1"/>
      <c r="H4" s="1"/>
      <c r="I4" s="1"/>
      <c r="J4" s="1"/>
      <c r="K4" s="1"/>
      <c r="L4" s="1"/>
      <c r="M4" s="1"/>
      <c r="N4" s="1"/>
      <c r="O4" s="1"/>
      <c r="P4" s="1"/>
      <c r="Q4" s="1"/>
      <c r="R4" s="1"/>
      <c r="S4" s="1"/>
      <c r="T4" s="1"/>
      <c r="U4" s="1"/>
      <c r="V4" s="1"/>
      <c r="W4" s="1"/>
      <c r="X4" s="1"/>
      <c r="Y4" s="1"/>
      <c r="Z4" s="1"/>
    </row>
    <row r="5" spans="1:26" ht="15" customHeight="1">
      <c r="A5" s="1"/>
      <c r="B5" s="471">
        <f>Hipótesis!C24</f>
        <v>0.03</v>
      </c>
      <c r="C5" s="471">
        <f>Hipótesis!C25</f>
        <v>0.08</v>
      </c>
      <c r="D5" s="471">
        <f>Hipótesis!C26</f>
        <v>0.15</v>
      </c>
      <c r="E5" s="1"/>
      <c r="F5" s="1"/>
      <c r="G5" s="1"/>
      <c r="H5" s="1"/>
      <c r="I5" s="1"/>
      <c r="J5" s="1"/>
      <c r="K5" s="1"/>
      <c r="L5" s="1"/>
      <c r="M5" s="1"/>
      <c r="N5" s="1"/>
      <c r="O5" s="1"/>
      <c r="P5" s="1"/>
      <c r="Q5" s="1"/>
      <c r="R5" s="1"/>
      <c r="S5" s="1"/>
      <c r="T5" s="1"/>
      <c r="U5" s="1"/>
      <c r="V5" s="1"/>
      <c r="W5" s="1"/>
      <c r="X5" s="1"/>
      <c r="Y5" s="1"/>
      <c r="Z5" s="1"/>
    </row>
    <row r="6" spans="1:26" ht="15" customHeight="1">
      <c r="A6" s="1"/>
      <c r="B6" s="473">
        <f>Hipótesis!D24</f>
        <v>48960</v>
      </c>
      <c r="C6" s="473">
        <f>Hipótesis!D25</f>
        <v>130560</v>
      </c>
      <c r="D6" s="473">
        <f>Hipótesis!D26</f>
        <v>244800</v>
      </c>
      <c r="E6" s="1"/>
      <c r="F6" s="1"/>
      <c r="G6" s="1"/>
      <c r="H6" s="1"/>
      <c r="I6" s="1"/>
      <c r="J6" s="1"/>
      <c r="K6" s="1"/>
      <c r="L6" s="1"/>
      <c r="M6" s="1"/>
      <c r="N6" s="1"/>
      <c r="O6" s="1"/>
      <c r="P6" s="1"/>
      <c r="Q6" s="1"/>
      <c r="R6" s="1"/>
      <c r="S6" s="1"/>
      <c r="T6" s="1"/>
      <c r="U6" s="1"/>
      <c r="V6" s="1"/>
      <c r="W6" s="1"/>
      <c r="X6" s="1"/>
      <c r="Y6" s="1"/>
      <c r="Z6" s="1"/>
    </row>
    <row r="7" spans="1:26" ht="15" customHeight="1">
      <c r="A7" s="1"/>
      <c r="B7" s="232"/>
      <c r="C7" s="232"/>
      <c r="D7" s="232"/>
      <c r="E7" s="1"/>
      <c r="F7" s="1"/>
      <c r="G7" s="1"/>
      <c r="H7" s="1"/>
      <c r="I7" s="1"/>
      <c r="J7" s="1"/>
      <c r="K7" s="1"/>
      <c r="L7" s="1"/>
      <c r="M7" s="1"/>
      <c r="N7" s="1"/>
      <c r="O7" s="1"/>
      <c r="P7" s="1"/>
      <c r="Q7" s="1"/>
      <c r="R7" s="1"/>
      <c r="S7" s="1"/>
      <c r="T7" s="1"/>
      <c r="U7" s="1"/>
      <c r="V7" s="1"/>
      <c r="W7" s="1"/>
      <c r="X7" s="1"/>
      <c r="Y7" s="1"/>
      <c r="Z7" s="1"/>
    </row>
    <row r="8" spans="1:26" ht="22.2" customHeight="1">
      <c r="A8" s="1"/>
      <c r="B8" s="753" t="s">
        <v>323</v>
      </c>
      <c r="C8" s="754"/>
      <c r="D8" s="755"/>
      <c r="E8" s="1"/>
      <c r="F8" s="1"/>
      <c r="G8" s="1"/>
      <c r="H8" s="1"/>
      <c r="I8" s="1"/>
      <c r="J8" s="1"/>
      <c r="K8" s="1"/>
      <c r="L8" s="1"/>
      <c r="M8" s="1"/>
      <c r="N8" s="1"/>
      <c r="O8" s="1"/>
      <c r="P8" s="1"/>
      <c r="Q8" s="1"/>
      <c r="R8" s="1"/>
      <c r="S8" s="1"/>
      <c r="T8" s="1"/>
      <c r="U8" s="1"/>
      <c r="V8" s="1"/>
      <c r="W8" s="1"/>
      <c r="X8" s="1"/>
      <c r="Y8" s="1"/>
      <c r="Z8" s="1"/>
    </row>
    <row r="9" spans="1:26" ht="15" customHeight="1">
      <c r="A9" s="470" t="s">
        <v>96</v>
      </c>
      <c r="B9" s="470">
        <v>2026</v>
      </c>
      <c r="C9" s="470">
        <v>2027</v>
      </c>
      <c r="D9" s="470">
        <v>2028</v>
      </c>
      <c r="E9" s="1"/>
      <c r="F9" s="1"/>
      <c r="G9" s="1"/>
      <c r="H9" s="1"/>
      <c r="I9" s="1"/>
      <c r="J9" s="1"/>
      <c r="K9" s="1"/>
      <c r="L9" s="1"/>
      <c r="M9" s="1"/>
      <c r="N9" s="1"/>
      <c r="O9" s="1"/>
      <c r="P9" s="1"/>
      <c r="Q9" s="1"/>
      <c r="R9" s="1"/>
      <c r="S9" s="1"/>
      <c r="T9" s="1"/>
      <c r="U9" s="1"/>
      <c r="V9" s="1"/>
      <c r="W9" s="1"/>
      <c r="X9" s="1"/>
      <c r="Y9" s="1"/>
      <c r="Z9" s="1"/>
    </row>
    <row r="10" spans="1:26" ht="15" customHeight="1">
      <c r="A10" s="474" t="s">
        <v>324</v>
      </c>
      <c r="B10" s="473">
        <f>'Costos fijos'!$G$5</f>
        <v>25440</v>
      </c>
      <c r="C10" s="473">
        <f>'Costos fijos'!$H$5</f>
        <v>33300</v>
      </c>
      <c r="D10" s="473">
        <f>'Costos fijos'!$I$5</f>
        <v>37260</v>
      </c>
      <c r="E10" s="1"/>
      <c r="F10" s="1"/>
      <c r="G10" s="1"/>
      <c r="H10" s="1"/>
      <c r="I10" s="1"/>
      <c r="J10" s="1"/>
      <c r="K10" s="1"/>
      <c r="L10" s="1"/>
      <c r="M10" s="1"/>
      <c r="N10" s="1"/>
      <c r="O10" s="1"/>
      <c r="P10" s="1"/>
      <c r="Q10" s="1"/>
      <c r="R10" s="1"/>
      <c r="S10" s="1"/>
      <c r="T10" s="1"/>
      <c r="U10" s="1"/>
      <c r="V10" s="1"/>
      <c r="W10" s="1"/>
      <c r="X10" s="1"/>
      <c r="Y10" s="1"/>
      <c r="Z10" s="1"/>
    </row>
    <row r="11" spans="1:26" ht="15" customHeight="1">
      <c r="A11" s="474" t="s">
        <v>325</v>
      </c>
      <c r="B11" s="473">
        <f>'Costos variables'!$H$6</f>
        <v>5402</v>
      </c>
      <c r="C11" s="473">
        <f>'Costos variables'!$I$6</f>
        <v>11065.9</v>
      </c>
      <c r="D11" s="473">
        <f>'Costos variables'!$J$6</f>
        <v>17774.300000000003</v>
      </c>
      <c r="E11" s="1"/>
      <c r="F11" s="1"/>
      <c r="G11" s="1"/>
      <c r="H11" s="1"/>
      <c r="I11" s="1"/>
      <c r="J11" s="1"/>
      <c r="K11" s="1"/>
      <c r="L11" s="1"/>
      <c r="M11" s="1"/>
      <c r="N11" s="1"/>
      <c r="O11" s="1"/>
      <c r="P11" s="1"/>
      <c r="Q11" s="1"/>
      <c r="R11" s="1"/>
      <c r="S11" s="1"/>
      <c r="T11" s="1"/>
      <c r="U11" s="1"/>
      <c r="V11" s="1"/>
      <c r="W11" s="1"/>
      <c r="X11" s="1"/>
      <c r="Y11" s="1"/>
      <c r="Z11" s="1"/>
    </row>
    <row r="12" spans="1:26" ht="15" customHeight="1">
      <c r="A12" s="474" t="s">
        <v>326</v>
      </c>
      <c r="B12" s="473">
        <f>'Costos RRHH'!$H$6</f>
        <v>122984.64000000001</v>
      </c>
      <c r="C12" s="473">
        <f>'Costos RRHH'!$I$6</f>
        <v>150323.35999999999</v>
      </c>
      <c r="D12" s="473">
        <f>'Costos RRHH'!$J$6</f>
        <v>183152.53000000003</v>
      </c>
      <c r="E12" s="1"/>
      <c r="F12" s="1"/>
      <c r="G12" s="1"/>
      <c r="H12" s="1"/>
      <c r="I12" s="1"/>
      <c r="J12" s="1"/>
      <c r="K12" s="1"/>
      <c r="L12" s="1"/>
      <c r="M12" s="1"/>
      <c r="N12" s="1"/>
      <c r="O12" s="1"/>
      <c r="P12" s="1"/>
      <c r="Q12" s="1"/>
      <c r="R12" s="1"/>
      <c r="S12" s="1"/>
      <c r="T12" s="1"/>
      <c r="U12" s="1"/>
      <c r="V12" s="1"/>
      <c r="W12" s="1"/>
      <c r="X12" s="1"/>
      <c r="Y12" s="1"/>
      <c r="Z12" s="1"/>
    </row>
    <row r="13" spans="1:26" ht="15" customHeight="1">
      <c r="A13" s="477" t="s">
        <v>327</v>
      </c>
      <c r="B13" s="479">
        <f>SUM(B10:B12)</f>
        <v>153826.64000000001</v>
      </c>
      <c r="C13" s="479">
        <f>SUM(C10:C12)</f>
        <v>194689.25999999998</v>
      </c>
      <c r="D13" s="479">
        <f>SUM(D10:D12)</f>
        <v>238186.83000000002</v>
      </c>
      <c r="E13" s="1"/>
      <c r="F13" s="1"/>
      <c r="G13" s="1"/>
      <c r="H13" s="1"/>
      <c r="I13" s="1"/>
      <c r="J13" s="1"/>
      <c r="K13" s="1"/>
      <c r="L13" s="1"/>
      <c r="M13" s="1"/>
      <c r="N13" s="1"/>
      <c r="O13" s="1"/>
      <c r="P13" s="1"/>
      <c r="Q13" s="1"/>
      <c r="R13" s="1"/>
      <c r="S13" s="1"/>
      <c r="T13" s="1"/>
      <c r="U13" s="1"/>
      <c r="V13" s="1"/>
      <c r="W13" s="1"/>
      <c r="X13" s="1"/>
      <c r="Y13" s="1"/>
      <c r="Z13" s="1"/>
    </row>
    <row r="14" spans="1:26" ht="15" customHeight="1">
      <c r="A14" s="490" t="s">
        <v>328</v>
      </c>
      <c r="B14" s="475">
        <f>+'Mod. ingresos'!C30</f>
        <v>20863</v>
      </c>
      <c r="C14" s="475">
        <f>+'Mod. ingresos'!D30</f>
        <v>79130</v>
      </c>
      <c r="D14" s="475">
        <f>+'Mod. ingresos'!E30</f>
        <v>160047</v>
      </c>
      <c r="E14" s="1"/>
      <c r="F14" s="1"/>
      <c r="G14" s="1"/>
      <c r="H14" s="1"/>
      <c r="I14" s="1"/>
      <c r="J14" s="1"/>
      <c r="K14" s="1"/>
      <c r="L14" s="1"/>
      <c r="M14" s="1"/>
      <c r="N14" s="1"/>
      <c r="O14" s="1"/>
      <c r="P14" s="1"/>
      <c r="Q14" s="1"/>
      <c r="R14" s="1"/>
      <c r="S14" s="1"/>
      <c r="T14" s="1"/>
      <c r="U14" s="1"/>
      <c r="V14" s="1"/>
      <c r="W14" s="1"/>
      <c r="X14" s="1"/>
      <c r="Y14" s="1"/>
      <c r="Z14" s="1"/>
    </row>
    <row r="15" spans="1:26" ht="15" customHeight="1">
      <c r="A15" s="491" t="s">
        <v>329</v>
      </c>
      <c r="B15" s="492">
        <f>B14-B13</f>
        <v>-132963.64000000001</v>
      </c>
      <c r="C15" s="492">
        <f>C14-C13</f>
        <v>-115559.25999999998</v>
      </c>
      <c r="D15" s="492">
        <f>D14-D13</f>
        <v>-78139.830000000016</v>
      </c>
      <c r="E15" s="1"/>
      <c r="F15" s="1"/>
      <c r="G15" s="1"/>
      <c r="H15" s="1"/>
      <c r="I15" s="1"/>
      <c r="J15" s="1"/>
      <c r="K15" s="1"/>
      <c r="L15" s="1"/>
      <c r="M15" s="1"/>
      <c r="N15" s="1"/>
      <c r="O15" s="1"/>
      <c r="P15" s="1"/>
      <c r="Q15" s="1"/>
      <c r="R15" s="1"/>
      <c r="S15" s="1"/>
      <c r="T15" s="1"/>
      <c r="U15" s="1"/>
      <c r="V15" s="1"/>
      <c r="W15" s="1"/>
      <c r="X15" s="1"/>
      <c r="Y15" s="1"/>
      <c r="Z15" s="1"/>
    </row>
    <row r="16" spans="1:26" ht="15" customHeight="1">
      <c r="A16" s="476" t="s">
        <v>330</v>
      </c>
      <c r="B16" s="493">
        <f>IFERROR(B13/B14,"")</f>
        <v>7.3731793126587748</v>
      </c>
      <c r="C16" s="493">
        <f>IFERROR(C13/C14,"")</f>
        <v>2.4603722987488941</v>
      </c>
      <c r="D16" s="493">
        <f>IFERROR(D13/D14,"")</f>
        <v>1.4882305197848134</v>
      </c>
      <c r="E16" s="1"/>
      <c r="F16" s="1"/>
      <c r="G16" s="1"/>
      <c r="H16" s="1"/>
      <c r="I16" s="1"/>
      <c r="J16" s="1"/>
      <c r="K16" s="1"/>
      <c r="L16" s="1"/>
      <c r="M16" s="1"/>
      <c r="N16" s="1"/>
      <c r="O16" s="1"/>
      <c r="P16" s="1"/>
      <c r="Q16" s="1"/>
      <c r="R16" s="1"/>
      <c r="S16" s="1"/>
      <c r="T16" s="1"/>
      <c r="U16" s="1"/>
      <c r="V16" s="1"/>
      <c r="W16" s="1"/>
      <c r="X16" s="1"/>
      <c r="Y16" s="1"/>
      <c r="Z16" s="1"/>
    </row>
    <row r="17" spans="1:26"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2.2" customHeight="1">
      <c r="A18" s="1"/>
      <c r="B18" s="469" t="s">
        <v>331</v>
      </c>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c r="A19" s="470" t="s">
        <v>96</v>
      </c>
      <c r="B19" s="470">
        <v>2026</v>
      </c>
      <c r="C19" s="470">
        <v>2027</v>
      </c>
      <c r="D19" s="470">
        <v>2028</v>
      </c>
      <c r="E19" s="1"/>
      <c r="F19" s="1"/>
      <c r="G19" s="1"/>
      <c r="H19" s="1"/>
      <c r="I19" s="1"/>
      <c r="J19" s="1"/>
      <c r="K19" s="1"/>
      <c r="L19" s="1"/>
      <c r="M19" s="1"/>
      <c r="N19" s="1"/>
      <c r="O19" s="1"/>
      <c r="P19" s="1"/>
      <c r="Q19" s="1"/>
      <c r="R19" s="1"/>
      <c r="S19" s="1"/>
      <c r="T19" s="1"/>
      <c r="U19" s="1"/>
      <c r="V19" s="1"/>
      <c r="W19" s="1"/>
      <c r="X19" s="1"/>
      <c r="Y19" s="1"/>
      <c r="Z19" s="1"/>
    </row>
    <row r="20" spans="1:26" ht="15" customHeight="1">
      <c r="A20" s="474" t="s">
        <v>324</v>
      </c>
      <c r="B20" s="471">
        <f t="shared" ref="B20:D22" si="0">IFERROR(B10/B$13,"")</f>
        <v>0.1653809769231129</v>
      </c>
      <c r="C20" s="471">
        <f t="shared" si="0"/>
        <v>0.17104179244402082</v>
      </c>
      <c r="D20" s="471">
        <f t="shared" si="0"/>
        <v>0.15643182286778828</v>
      </c>
      <c r="E20" s="1"/>
      <c r="F20" s="1"/>
      <c r="G20" s="1"/>
      <c r="H20" s="1"/>
      <c r="I20" s="1"/>
      <c r="J20" s="1"/>
      <c r="K20" s="1"/>
      <c r="L20" s="1"/>
      <c r="M20" s="1"/>
      <c r="N20" s="1"/>
      <c r="O20" s="1"/>
      <c r="P20" s="1"/>
      <c r="Q20" s="1"/>
      <c r="R20" s="1"/>
      <c r="S20" s="1"/>
      <c r="T20" s="1"/>
      <c r="U20" s="1"/>
      <c r="V20" s="1"/>
      <c r="W20" s="1"/>
      <c r="X20" s="1"/>
      <c r="Y20" s="1"/>
      <c r="Z20" s="1"/>
    </row>
    <row r="21" spans="1:26" ht="15" customHeight="1">
      <c r="A21" s="474" t="s">
        <v>325</v>
      </c>
      <c r="B21" s="471">
        <f t="shared" si="0"/>
        <v>3.5117454297903146E-2</v>
      </c>
      <c r="C21" s="471">
        <f t="shared" si="0"/>
        <v>5.6838779910098794E-2</v>
      </c>
      <c r="D21" s="471">
        <f t="shared" si="0"/>
        <v>7.4623353440658333E-2</v>
      </c>
      <c r="E21" s="1"/>
      <c r="F21" s="1"/>
      <c r="G21" s="1"/>
      <c r="H21" s="1"/>
      <c r="I21" s="1"/>
      <c r="J21" s="1"/>
      <c r="K21" s="1"/>
      <c r="L21" s="1"/>
      <c r="M21" s="1"/>
      <c r="N21" s="1"/>
      <c r="O21" s="1"/>
      <c r="P21" s="1"/>
      <c r="Q21" s="1"/>
      <c r="R21" s="1"/>
      <c r="S21" s="1"/>
      <c r="T21" s="1"/>
      <c r="U21" s="1"/>
      <c r="V21" s="1"/>
      <c r="W21" s="1"/>
      <c r="X21" s="1"/>
      <c r="Y21" s="1"/>
      <c r="Z21" s="1"/>
    </row>
    <row r="22" spans="1:26" ht="15" customHeight="1">
      <c r="A22" s="474" t="s">
        <v>326</v>
      </c>
      <c r="B22" s="471">
        <f t="shared" si="0"/>
        <v>0.79950156877898393</v>
      </c>
      <c r="C22" s="471">
        <f t="shared" si="0"/>
        <v>0.77211942764588037</v>
      </c>
      <c r="D22" s="471">
        <f t="shared" si="0"/>
        <v>0.76894482369155348</v>
      </c>
      <c r="E22" s="1"/>
      <c r="F22" s="1"/>
      <c r="G22" s="1"/>
      <c r="H22" s="1"/>
      <c r="I22" s="1"/>
      <c r="J22" s="1"/>
      <c r="K22" s="1"/>
      <c r="L22" s="1"/>
      <c r="M22" s="1"/>
      <c r="N22" s="1"/>
      <c r="O22" s="1"/>
      <c r="P22" s="1"/>
      <c r="Q22" s="1"/>
      <c r="R22" s="1"/>
      <c r="S22" s="1"/>
      <c r="T22" s="1"/>
      <c r="U22" s="1"/>
      <c r="V22" s="1"/>
      <c r="W22" s="1"/>
      <c r="X22" s="1"/>
      <c r="Y22" s="1"/>
      <c r="Z22" s="1"/>
    </row>
    <row r="23" spans="1:26" ht="1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4"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4"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4"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2">
    <mergeCell ref="B3:D3"/>
    <mergeCell ref="B8:D8"/>
  </mergeCells>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81"/>
  <sheetViews>
    <sheetView workbookViewId="0"/>
  </sheetViews>
  <sheetFormatPr defaultColWidth="12.59765625" defaultRowHeight="15" customHeight="1"/>
  <cols>
    <col min="1" max="1" width="10" customWidth="1"/>
    <col min="2" max="2" width="40.59765625" customWidth="1"/>
    <col min="3" max="3" width="13.8984375" customWidth="1"/>
    <col min="4" max="4" width="14" customWidth="1"/>
    <col min="5" max="5" width="13.19921875" customWidth="1"/>
    <col min="6" max="6" width="83.3984375" customWidth="1"/>
    <col min="7" max="7" width="29.59765625" customWidth="1"/>
    <col min="8" max="9" width="12.09765625" customWidth="1"/>
    <col min="10" max="10" width="13.09765625" customWidth="1"/>
    <col min="11" max="26" width="10" customWidth="1"/>
  </cols>
  <sheetData>
    <row r="1" spans="1:26" ht="61.2" customHeight="1">
      <c r="A1" s="8"/>
      <c r="B1" s="8"/>
      <c r="C1" s="8"/>
      <c r="D1" s="8"/>
      <c r="E1" s="8"/>
      <c r="F1" s="192"/>
      <c r="G1" s="202"/>
      <c r="H1" s="202"/>
      <c r="I1" s="8"/>
      <c r="J1" s="8"/>
      <c r="K1" s="8"/>
      <c r="L1" s="8"/>
      <c r="M1" s="1"/>
      <c r="N1" s="1"/>
      <c r="O1" s="1"/>
      <c r="P1" s="1"/>
      <c r="Q1" s="1"/>
      <c r="R1" s="1"/>
      <c r="S1" s="1"/>
      <c r="T1" s="1"/>
      <c r="U1" s="1"/>
      <c r="V1" s="1"/>
      <c r="W1" s="1"/>
      <c r="X1" s="1"/>
      <c r="Y1" s="1"/>
      <c r="Z1" s="1"/>
    </row>
    <row r="2" spans="1:26" ht="14.4" customHeight="1">
      <c r="A2" s="1"/>
      <c r="B2" s="1"/>
      <c r="C2" s="1"/>
      <c r="D2" s="1"/>
      <c r="E2" s="1"/>
      <c r="F2" s="1"/>
      <c r="G2" s="1"/>
      <c r="H2" s="1"/>
      <c r="I2" s="1"/>
      <c r="J2" s="1"/>
      <c r="K2" s="1"/>
      <c r="L2" s="1"/>
      <c r="M2" s="1"/>
      <c r="N2" s="1"/>
      <c r="O2" s="1"/>
      <c r="P2" s="1"/>
      <c r="Q2" s="1"/>
      <c r="R2" s="1"/>
      <c r="S2" s="1"/>
      <c r="T2" s="1"/>
      <c r="U2" s="1"/>
      <c r="V2" s="1"/>
      <c r="W2" s="1"/>
      <c r="X2" s="1"/>
      <c r="Y2" s="1"/>
      <c r="Z2" s="1"/>
    </row>
    <row r="3" spans="1:26" ht="25.95" customHeight="1">
      <c r="A3" s="1"/>
      <c r="B3" s="622"/>
      <c r="C3" s="620"/>
      <c r="D3" s="621"/>
      <c r="E3" s="1"/>
      <c r="F3" s="1"/>
      <c r="G3" s="619"/>
      <c r="H3" s="620"/>
      <c r="I3" s="620"/>
      <c r="J3" s="621"/>
      <c r="K3" s="1"/>
      <c r="L3" s="1"/>
      <c r="M3" s="1"/>
      <c r="N3" s="1"/>
      <c r="O3" s="1"/>
      <c r="P3" s="1"/>
      <c r="Q3" s="1"/>
      <c r="R3" s="1"/>
      <c r="S3" s="1"/>
      <c r="T3" s="1"/>
      <c r="U3" s="1"/>
      <c r="V3" s="1"/>
      <c r="W3" s="1"/>
      <c r="X3" s="1"/>
      <c r="Y3" s="1"/>
      <c r="Z3" s="1"/>
    </row>
    <row r="4" spans="1:26" ht="14.4" customHeight="1">
      <c r="A4" s="1"/>
      <c r="B4" s="51"/>
      <c r="C4" s="52"/>
      <c r="D4" s="53"/>
      <c r="E4" s="1"/>
      <c r="F4" s="1"/>
      <c r="G4" s="284"/>
      <c r="H4" s="51"/>
      <c r="I4" s="52"/>
      <c r="J4" s="53"/>
      <c r="K4" s="1"/>
      <c r="L4" s="1"/>
      <c r="M4" s="1"/>
      <c r="N4" s="1"/>
      <c r="O4" s="1"/>
      <c r="P4" s="1"/>
      <c r="Q4" s="1"/>
      <c r="R4" s="1"/>
      <c r="S4" s="1"/>
      <c r="T4" s="1"/>
      <c r="U4" s="1"/>
      <c r="V4" s="1"/>
      <c r="W4" s="1"/>
      <c r="X4" s="1"/>
      <c r="Y4" s="1"/>
      <c r="Z4" s="1"/>
    </row>
    <row r="5" spans="1:26" ht="14.4" customHeight="1">
      <c r="A5" s="1"/>
      <c r="B5" s="55"/>
      <c r="C5" s="56"/>
      <c r="D5" s="57"/>
      <c r="E5" s="1"/>
      <c r="F5" s="1"/>
      <c r="G5" s="285"/>
      <c r="H5" s="286"/>
      <c r="I5" s="286"/>
      <c r="J5" s="287"/>
      <c r="K5" s="1"/>
      <c r="L5" s="1"/>
      <c r="M5" s="1"/>
      <c r="N5" s="1"/>
      <c r="O5" s="1"/>
      <c r="P5" s="1"/>
      <c r="Q5" s="1"/>
      <c r="R5" s="1"/>
      <c r="S5" s="1"/>
      <c r="T5" s="1"/>
      <c r="U5" s="1"/>
      <c r="V5" s="1"/>
      <c r="W5" s="1"/>
      <c r="X5" s="1"/>
      <c r="Y5" s="1"/>
      <c r="Z5" s="1"/>
    </row>
    <row r="6" spans="1:26" ht="14.4" customHeight="1">
      <c r="A6" s="1"/>
      <c r="B6" s="58"/>
      <c r="C6" s="59"/>
      <c r="D6" s="60"/>
      <c r="E6" s="1"/>
      <c r="F6" s="1"/>
      <c r="G6" s="1"/>
      <c r="H6" s="1"/>
      <c r="I6" s="1"/>
      <c r="J6" s="1"/>
      <c r="K6" s="1"/>
      <c r="L6" s="1"/>
      <c r="M6" s="1"/>
      <c r="N6" s="1"/>
      <c r="O6" s="1"/>
      <c r="P6" s="1"/>
      <c r="Q6" s="1"/>
      <c r="R6" s="1"/>
      <c r="S6" s="1"/>
      <c r="T6" s="1"/>
      <c r="U6" s="1"/>
      <c r="V6" s="1"/>
      <c r="W6" s="1"/>
      <c r="X6" s="1"/>
      <c r="Y6" s="1"/>
      <c r="Z6" s="1"/>
    </row>
    <row r="7" spans="1:26" ht="14.4" customHeight="1">
      <c r="A7" s="1"/>
      <c r="B7" s="1"/>
      <c r="C7" s="1"/>
      <c r="D7" s="1"/>
      <c r="E7" s="1"/>
      <c r="F7" s="1"/>
      <c r="G7" s="1"/>
      <c r="H7" s="1"/>
      <c r="I7" s="1"/>
      <c r="J7" s="1"/>
      <c r="K7" s="1"/>
      <c r="L7" s="1"/>
      <c r="M7" s="1"/>
      <c r="N7" s="1"/>
      <c r="O7" s="1"/>
      <c r="P7" s="1"/>
      <c r="Q7" s="1"/>
      <c r="R7" s="1"/>
      <c r="S7" s="1"/>
      <c r="T7" s="1"/>
      <c r="U7" s="1"/>
      <c r="V7" s="1"/>
      <c r="W7" s="1"/>
      <c r="X7" s="1"/>
      <c r="Y7" s="1"/>
      <c r="Z7" s="1"/>
    </row>
    <row r="8" spans="1:26" ht="14.4" customHeight="1">
      <c r="A8" s="1"/>
      <c r="B8" s="1"/>
      <c r="C8" s="1"/>
      <c r="D8" s="1"/>
      <c r="E8" s="1"/>
      <c r="F8" s="1"/>
      <c r="G8" s="1"/>
      <c r="H8" s="1"/>
      <c r="I8" s="1"/>
      <c r="J8" s="1"/>
      <c r="K8" s="1"/>
      <c r="L8" s="1"/>
      <c r="M8" s="1"/>
      <c r="N8" s="1"/>
      <c r="O8" s="1"/>
      <c r="P8" s="1"/>
      <c r="Q8" s="1"/>
      <c r="R8" s="1"/>
      <c r="S8" s="1"/>
      <c r="T8" s="1"/>
      <c r="U8" s="1"/>
      <c r="V8" s="1"/>
      <c r="W8" s="1"/>
      <c r="X8" s="1"/>
      <c r="Y8" s="1"/>
      <c r="Z8" s="1"/>
    </row>
    <row r="9" spans="1:26" ht="25.95" customHeight="1">
      <c r="A9" s="1"/>
      <c r="B9" s="622"/>
      <c r="C9" s="620"/>
      <c r="D9" s="620"/>
      <c r="E9" s="620"/>
      <c r="F9" s="621"/>
      <c r="G9" s="1"/>
      <c r="H9" s="1"/>
      <c r="I9" s="1"/>
      <c r="J9" s="1"/>
      <c r="K9" s="1"/>
      <c r="L9" s="1"/>
      <c r="M9" s="1"/>
      <c r="N9" s="1"/>
      <c r="O9" s="1"/>
      <c r="P9" s="1"/>
      <c r="Q9" s="1"/>
      <c r="R9" s="1"/>
      <c r="S9" s="1"/>
      <c r="T9" s="1"/>
      <c r="U9" s="1"/>
      <c r="V9" s="1"/>
      <c r="W9" s="1"/>
      <c r="X9" s="1"/>
      <c r="Y9" s="1"/>
      <c r="Z9" s="1"/>
    </row>
    <row r="10" spans="1:26" ht="15.6" customHeight="1">
      <c r="A10" s="1"/>
      <c r="B10" s="288"/>
      <c r="C10" s="289"/>
      <c r="D10" s="289"/>
      <c r="E10" s="289"/>
      <c r="F10" s="31"/>
      <c r="G10" s="1"/>
      <c r="H10" s="1"/>
      <c r="I10" s="1"/>
      <c r="J10" s="1"/>
      <c r="K10" s="1"/>
      <c r="L10" s="1"/>
      <c r="M10" s="1"/>
      <c r="N10" s="1"/>
      <c r="O10" s="1"/>
      <c r="P10" s="1"/>
      <c r="Q10" s="1"/>
      <c r="R10" s="1"/>
      <c r="S10" s="1"/>
      <c r="T10" s="1"/>
      <c r="U10" s="1"/>
      <c r="V10" s="1"/>
      <c r="W10" s="1"/>
      <c r="X10" s="1"/>
      <c r="Y10" s="1"/>
      <c r="Z10" s="1"/>
    </row>
    <row r="11" spans="1:26" ht="14.4" customHeight="1">
      <c r="A11" s="1"/>
      <c r="B11" s="274"/>
      <c r="C11" s="199"/>
      <c r="D11" s="290"/>
      <c r="E11" s="291"/>
      <c r="F11" s="292"/>
      <c r="G11" s="1"/>
      <c r="H11" s="1"/>
      <c r="I11" s="1"/>
      <c r="J11" s="1"/>
      <c r="K11" s="1"/>
      <c r="L11" s="1"/>
      <c r="M11" s="1"/>
      <c r="N11" s="1"/>
      <c r="O11" s="1"/>
      <c r="P11" s="1"/>
      <c r="Q11" s="1"/>
      <c r="R11" s="1"/>
      <c r="S11" s="1"/>
      <c r="T11" s="1"/>
      <c r="U11" s="1"/>
      <c r="V11" s="1"/>
      <c r="W11" s="1"/>
      <c r="X11" s="1"/>
      <c r="Y11" s="1"/>
      <c r="Z11" s="1"/>
    </row>
    <row r="12" spans="1:26" ht="14.4" customHeight="1">
      <c r="A12" s="1"/>
      <c r="B12" s="274"/>
      <c r="C12" s="199"/>
      <c r="D12" s="290"/>
      <c r="E12" s="291"/>
      <c r="F12" s="292"/>
      <c r="G12" s="1"/>
      <c r="H12" s="1"/>
      <c r="I12" s="1"/>
      <c r="J12" s="1"/>
      <c r="K12" s="1"/>
      <c r="L12" s="1"/>
      <c r="M12" s="1"/>
      <c r="N12" s="1"/>
      <c r="O12" s="1"/>
      <c r="P12" s="1"/>
      <c r="Q12" s="1"/>
      <c r="R12" s="1"/>
      <c r="S12" s="1"/>
      <c r="T12" s="1"/>
      <c r="U12" s="1"/>
      <c r="V12" s="1"/>
      <c r="W12" s="1"/>
      <c r="X12" s="1"/>
      <c r="Y12" s="1"/>
      <c r="Z12" s="1"/>
    </row>
    <row r="13" spans="1:26" ht="14.4" customHeight="1">
      <c r="A13" s="1"/>
      <c r="B13" s="274"/>
      <c r="C13" s="199"/>
      <c r="D13" s="290"/>
      <c r="E13" s="291"/>
      <c r="F13" s="293"/>
      <c r="G13" s="1"/>
      <c r="H13" s="1"/>
      <c r="I13" s="1"/>
      <c r="J13" s="1"/>
      <c r="K13" s="1"/>
      <c r="L13" s="1"/>
      <c r="M13" s="1"/>
      <c r="N13" s="1"/>
      <c r="O13" s="1"/>
      <c r="P13" s="1"/>
      <c r="Q13" s="1"/>
      <c r="R13" s="1"/>
      <c r="S13" s="1"/>
      <c r="T13" s="1"/>
      <c r="U13" s="1"/>
      <c r="V13" s="1"/>
      <c r="W13" s="1"/>
      <c r="X13" s="1"/>
      <c r="Y13" s="1"/>
      <c r="Z13" s="1"/>
    </row>
    <row r="14" spans="1:26" ht="14.4" customHeight="1">
      <c r="A14" s="1"/>
      <c r="B14" s="274"/>
      <c r="C14" s="199"/>
      <c r="D14" s="290"/>
      <c r="E14" s="291"/>
      <c r="F14" s="293"/>
      <c r="G14" s="1"/>
      <c r="H14" s="1"/>
      <c r="I14" s="1"/>
      <c r="J14" s="1"/>
      <c r="K14" s="1"/>
      <c r="L14" s="1"/>
      <c r="M14" s="1"/>
      <c r="N14" s="1"/>
      <c r="O14" s="1"/>
      <c r="P14" s="1"/>
      <c r="Q14" s="1"/>
      <c r="R14" s="1"/>
      <c r="S14" s="1"/>
      <c r="T14" s="1"/>
      <c r="U14" s="1"/>
      <c r="V14" s="1"/>
      <c r="W14" s="1"/>
      <c r="X14" s="1"/>
      <c r="Y14" s="1"/>
      <c r="Z14" s="1"/>
    </row>
    <row r="15" spans="1:26" ht="14.4" customHeight="1">
      <c r="A15" s="1"/>
      <c r="B15" s="274"/>
      <c r="C15" s="275"/>
      <c r="D15" s="290"/>
      <c r="E15" s="291"/>
      <c r="F15" s="293"/>
      <c r="G15" s="1"/>
      <c r="H15" s="1"/>
      <c r="I15" s="1"/>
      <c r="J15" s="1"/>
      <c r="K15" s="1"/>
      <c r="L15" s="1"/>
      <c r="M15" s="1"/>
      <c r="N15" s="1"/>
      <c r="O15" s="1"/>
      <c r="P15" s="1"/>
      <c r="Q15" s="1"/>
      <c r="R15" s="1"/>
      <c r="S15" s="1"/>
      <c r="T15" s="1"/>
      <c r="U15" s="1"/>
      <c r="V15" s="1"/>
      <c r="W15" s="1"/>
      <c r="X15" s="1"/>
      <c r="Y15" s="1"/>
      <c r="Z15" s="1"/>
    </row>
    <row r="16" spans="1:26" ht="14.4" customHeight="1">
      <c r="A16" s="1"/>
      <c r="B16" s="274"/>
      <c r="C16" s="275"/>
      <c r="D16" s="290"/>
      <c r="E16" s="291"/>
      <c r="F16" s="294"/>
      <c r="G16" s="1"/>
      <c r="H16" s="1"/>
      <c r="I16" s="1"/>
      <c r="J16" s="1"/>
      <c r="K16" s="1"/>
      <c r="L16" s="1"/>
      <c r="M16" s="1"/>
      <c r="N16" s="1"/>
      <c r="O16" s="1"/>
      <c r="P16" s="1"/>
      <c r="Q16" s="1"/>
      <c r="R16" s="1"/>
      <c r="S16" s="1"/>
      <c r="T16" s="1"/>
      <c r="U16" s="1"/>
      <c r="V16" s="1"/>
      <c r="W16" s="1"/>
      <c r="X16" s="1"/>
      <c r="Y16" s="1"/>
      <c r="Z16" s="1"/>
    </row>
    <row r="17" spans="1:26" ht="14.4" customHeight="1">
      <c r="A17" s="1"/>
      <c r="B17" s="274"/>
      <c r="C17" s="275"/>
      <c r="D17" s="290"/>
      <c r="E17" s="291"/>
      <c r="F17" s="295"/>
      <c r="G17" s="1"/>
      <c r="H17" s="1"/>
      <c r="I17" s="1"/>
      <c r="J17" s="1"/>
      <c r="K17" s="1"/>
      <c r="L17" s="1"/>
      <c r="M17" s="1"/>
      <c r="N17" s="1"/>
      <c r="O17" s="1"/>
      <c r="P17" s="1"/>
      <c r="Q17" s="1"/>
      <c r="R17" s="1"/>
      <c r="S17" s="1"/>
      <c r="T17" s="1"/>
      <c r="U17" s="1"/>
      <c r="V17" s="1"/>
      <c r="W17" s="1"/>
      <c r="X17" s="1"/>
      <c r="Y17" s="1"/>
      <c r="Z17" s="1"/>
    </row>
    <row r="18" spans="1:26" ht="14.4" customHeight="1">
      <c r="A18" s="1"/>
      <c r="B18" s="274"/>
      <c r="C18" s="275"/>
      <c r="D18" s="290"/>
      <c r="E18" s="291"/>
      <c r="F18" s="295"/>
      <c r="G18" s="1"/>
      <c r="H18" s="1"/>
      <c r="I18" s="1"/>
      <c r="J18" s="1"/>
      <c r="K18" s="1"/>
      <c r="L18" s="1"/>
      <c r="M18" s="1"/>
      <c r="N18" s="1"/>
      <c r="O18" s="1"/>
      <c r="P18" s="1"/>
      <c r="Q18" s="1"/>
      <c r="R18" s="1"/>
      <c r="S18" s="1"/>
      <c r="T18" s="1"/>
      <c r="U18" s="1"/>
      <c r="V18" s="1"/>
      <c r="W18" s="1"/>
      <c r="X18" s="1"/>
      <c r="Y18" s="1"/>
      <c r="Z18" s="1"/>
    </row>
    <row r="19" spans="1:26" ht="14.4" customHeight="1">
      <c r="A19" s="1"/>
      <c r="B19" s="274"/>
      <c r="C19" s="275"/>
      <c r="D19" s="290"/>
      <c r="E19" s="291"/>
      <c r="F19" s="295"/>
      <c r="G19" s="1"/>
      <c r="H19" s="1"/>
      <c r="I19" s="1"/>
      <c r="J19" s="1"/>
      <c r="K19" s="1"/>
      <c r="L19" s="1"/>
      <c r="M19" s="1"/>
      <c r="N19" s="1"/>
      <c r="O19" s="1"/>
      <c r="P19" s="1"/>
      <c r="Q19" s="1"/>
      <c r="R19" s="1"/>
      <c r="S19" s="1"/>
      <c r="T19" s="1"/>
      <c r="U19" s="1"/>
      <c r="V19" s="1"/>
      <c r="W19" s="1"/>
      <c r="X19" s="1"/>
      <c r="Y19" s="1"/>
      <c r="Z19" s="1"/>
    </row>
    <row r="20" spans="1:26" ht="14.4" customHeight="1">
      <c r="A20" s="296"/>
      <c r="B20" s="274"/>
      <c r="C20" s="275"/>
      <c r="D20" s="290"/>
      <c r="E20" s="291"/>
      <c r="F20" s="297"/>
      <c r="G20" s="1"/>
      <c r="H20" s="1"/>
      <c r="I20" s="1"/>
      <c r="J20" s="1"/>
      <c r="K20" s="1"/>
      <c r="L20" s="1"/>
      <c r="M20" s="1"/>
      <c r="N20" s="1"/>
      <c r="O20" s="1"/>
      <c r="P20" s="1"/>
      <c r="Q20" s="1"/>
      <c r="R20" s="1"/>
      <c r="S20" s="1"/>
      <c r="T20" s="1"/>
      <c r="U20" s="1"/>
      <c r="V20" s="1"/>
      <c r="W20" s="1"/>
      <c r="X20" s="1"/>
      <c r="Y20" s="1"/>
      <c r="Z20" s="1"/>
    </row>
    <row r="21" spans="1:26" ht="14.4" customHeight="1">
      <c r="A21" s="1"/>
      <c r="B21" s="274"/>
      <c r="C21" s="275"/>
      <c r="D21" s="290"/>
      <c r="E21" s="291"/>
      <c r="F21" s="295"/>
      <c r="G21" s="1"/>
      <c r="H21" s="1"/>
      <c r="I21" s="1"/>
      <c r="J21" s="1"/>
      <c r="K21" s="1"/>
      <c r="L21" s="1"/>
      <c r="M21" s="1"/>
      <c r="N21" s="1"/>
      <c r="O21" s="1"/>
      <c r="P21" s="1"/>
      <c r="Q21" s="1"/>
      <c r="R21" s="1"/>
      <c r="S21" s="1"/>
      <c r="T21" s="1"/>
      <c r="U21" s="1"/>
      <c r="V21" s="1"/>
      <c r="W21" s="1"/>
      <c r="X21" s="1"/>
      <c r="Y21" s="1"/>
      <c r="Z21" s="1"/>
    </row>
    <row r="22" spans="1:26" ht="14.4" customHeight="1">
      <c r="A22" s="1"/>
      <c r="B22" s="274"/>
      <c r="C22" s="275"/>
      <c r="D22" s="290"/>
      <c r="E22" s="291"/>
      <c r="F22" s="295"/>
      <c r="G22" s="1"/>
      <c r="H22" s="1"/>
      <c r="I22" s="1"/>
      <c r="J22" s="1"/>
      <c r="K22" s="1"/>
      <c r="L22" s="1"/>
      <c r="M22" s="1"/>
      <c r="N22" s="1"/>
      <c r="O22" s="1"/>
      <c r="P22" s="1"/>
      <c r="Q22" s="1"/>
      <c r="R22" s="1"/>
      <c r="S22" s="1"/>
      <c r="T22" s="1"/>
      <c r="U22" s="1"/>
      <c r="V22" s="1"/>
      <c r="W22" s="1"/>
      <c r="X22" s="1"/>
      <c r="Y22" s="1"/>
      <c r="Z22" s="1"/>
    </row>
    <row r="23" spans="1:26" ht="14.4" customHeight="1">
      <c r="A23" s="1"/>
      <c r="B23" s="274"/>
      <c r="C23" s="275"/>
      <c r="D23" s="290"/>
      <c r="E23" s="291"/>
      <c r="F23" s="294"/>
      <c r="G23" s="1"/>
      <c r="H23" s="1"/>
      <c r="I23" s="1"/>
      <c r="J23" s="1"/>
      <c r="K23" s="1"/>
      <c r="L23" s="1"/>
      <c r="M23" s="1"/>
      <c r="N23" s="1"/>
      <c r="O23" s="1"/>
      <c r="P23" s="1"/>
      <c r="Q23" s="1"/>
      <c r="R23" s="1"/>
      <c r="S23" s="1"/>
      <c r="T23" s="1"/>
      <c r="U23" s="1"/>
      <c r="V23" s="1"/>
      <c r="W23" s="1"/>
      <c r="X23" s="1"/>
      <c r="Y23" s="1"/>
      <c r="Z23" s="1"/>
    </row>
    <row r="24" spans="1:26" ht="14.4" customHeight="1">
      <c r="A24" s="1"/>
      <c r="B24" s="274"/>
      <c r="C24" s="275"/>
      <c r="D24" s="290"/>
      <c r="E24" s="291"/>
      <c r="F24" s="295"/>
      <c r="G24" s="1"/>
      <c r="H24" s="1"/>
      <c r="I24" s="1"/>
      <c r="J24" s="1"/>
      <c r="K24" s="1"/>
      <c r="L24" s="1"/>
      <c r="M24" s="1"/>
      <c r="N24" s="1"/>
      <c r="O24" s="1"/>
      <c r="P24" s="1"/>
      <c r="Q24" s="1"/>
      <c r="R24" s="1"/>
      <c r="S24" s="1"/>
      <c r="T24" s="1"/>
      <c r="U24" s="1"/>
      <c r="V24" s="1"/>
      <c r="W24" s="1"/>
      <c r="X24" s="1"/>
      <c r="Y24" s="1"/>
      <c r="Z24" s="1"/>
    </row>
    <row r="25" spans="1:26" ht="14.4" customHeight="1">
      <c r="A25" s="1"/>
      <c r="B25" s="274"/>
      <c r="C25" s="275"/>
      <c r="D25" s="290"/>
      <c r="E25" s="291"/>
      <c r="F25" s="295"/>
      <c r="G25" s="1"/>
      <c r="H25" s="1"/>
      <c r="I25" s="1"/>
      <c r="J25" s="1"/>
      <c r="K25" s="1"/>
      <c r="L25" s="1"/>
      <c r="M25" s="1"/>
      <c r="N25" s="1"/>
      <c r="O25" s="1"/>
      <c r="P25" s="1"/>
      <c r="Q25" s="1"/>
      <c r="R25" s="1"/>
      <c r="S25" s="1"/>
      <c r="T25" s="1"/>
      <c r="U25" s="1"/>
      <c r="V25" s="1"/>
      <c r="W25" s="1"/>
      <c r="X25" s="1"/>
      <c r="Y25" s="1"/>
      <c r="Z25" s="1"/>
    </row>
    <row r="26" spans="1:26" ht="14.4" customHeight="1">
      <c r="A26" s="1"/>
      <c r="B26" s="274"/>
      <c r="C26" s="275"/>
      <c r="D26" s="290"/>
      <c r="E26" s="291"/>
      <c r="F26" s="295"/>
      <c r="G26" s="1"/>
      <c r="H26" s="1"/>
      <c r="I26" s="1"/>
      <c r="J26" s="1"/>
      <c r="K26" s="1"/>
      <c r="L26" s="1"/>
      <c r="M26" s="1"/>
      <c r="N26" s="1"/>
      <c r="O26" s="1"/>
      <c r="P26" s="1"/>
      <c r="Q26" s="1"/>
      <c r="R26" s="1"/>
      <c r="S26" s="1"/>
      <c r="T26" s="1"/>
      <c r="U26" s="1"/>
      <c r="V26" s="1"/>
      <c r="W26" s="1"/>
      <c r="X26" s="1"/>
      <c r="Y26" s="1"/>
      <c r="Z26" s="1"/>
    </row>
    <row r="27" spans="1:26" ht="14.4" customHeight="1">
      <c r="A27" s="1"/>
      <c r="B27" s="298"/>
      <c r="C27" s="299"/>
      <c r="D27" s="286"/>
      <c r="E27" s="291"/>
      <c r="F27" s="300"/>
      <c r="G27" s="1"/>
      <c r="H27" s="1"/>
      <c r="I27" s="1"/>
      <c r="J27" s="1"/>
      <c r="K27" s="1"/>
      <c r="L27" s="1"/>
      <c r="M27" s="1"/>
      <c r="N27" s="1"/>
      <c r="O27" s="1"/>
      <c r="P27" s="1"/>
      <c r="Q27" s="1"/>
      <c r="R27" s="1"/>
      <c r="S27" s="1"/>
      <c r="T27" s="1"/>
      <c r="U27" s="1"/>
      <c r="V27" s="1"/>
      <c r="W27" s="1"/>
      <c r="X27" s="1"/>
      <c r="Y27" s="1"/>
      <c r="Z27" s="1"/>
    </row>
    <row r="28" spans="1:26" ht="14.4" customHeight="1">
      <c r="A28" s="1"/>
      <c r="B28" s="764"/>
      <c r="C28" s="641"/>
      <c r="D28" s="641"/>
      <c r="E28" s="301"/>
      <c r="F28" s="1"/>
      <c r="G28" s="1"/>
      <c r="H28" s="1"/>
      <c r="I28" s="1"/>
      <c r="J28" s="1"/>
      <c r="K28" s="1"/>
      <c r="L28" s="1"/>
      <c r="M28" s="1"/>
      <c r="N28" s="1"/>
      <c r="O28" s="1"/>
      <c r="P28" s="1"/>
      <c r="Q28" s="1"/>
      <c r="R28" s="1"/>
      <c r="S28" s="1"/>
      <c r="T28" s="1"/>
      <c r="U28" s="1"/>
      <c r="V28" s="1"/>
      <c r="W28" s="1"/>
      <c r="X28" s="1"/>
      <c r="Y28" s="1"/>
      <c r="Z28" s="1"/>
    </row>
    <row r="29" spans="1:26" ht="14.4"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5.95" customHeight="1">
      <c r="A30" s="1"/>
      <c r="B30" s="622"/>
      <c r="C30" s="620"/>
      <c r="D30" s="620"/>
      <c r="E30" s="621"/>
      <c r="F30" s="302"/>
      <c r="G30" s="1"/>
      <c r="H30" s="1"/>
      <c r="I30" s="1"/>
      <c r="J30" s="1"/>
      <c r="K30" s="1"/>
      <c r="L30" s="1"/>
      <c r="M30" s="1"/>
      <c r="N30" s="1"/>
      <c r="O30" s="1"/>
      <c r="P30" s="1"/>
      <c r="Q30" s="1"/>
      <c r="R30" s="1"/>
      <c r="S30" s="1"/>
      <c r="T30" s="1"/>
      <c r="U30" s="1"/>
      <c r="V30" s="1"/>
      <c r="W30" s="1"/>
      <c r="X30" s="1"/>
      <c r="Y30" s="1"/>
      <c r="Z30" s="1"/>
    </row>
    <row r="31" spans="1:26" ht="15.6" customHeight="1">
      <c r="A31" s="1"/>
      <c r="B31" s="288"/>
      <c r="C31" s="289"/>
      <c r="D31" s="289"/>
      <c r="E31" s="303"/>
      <c r="F31" s="1"/>
      <c r="G31" s="1"/>
      <c r="H31" s="1"/>
      <c r="I31" s="1"/>
      <c r="J31" s="1"/>
      <c r="K31" s="1"/>
      <c r="L31" s="1"/>
      <c r="M31" s="1"/>
      <c r="N31" s="1"/>
      <c r="O31" s="1"/>
      <c r="P31" s="1"/>
      <c r="Q31" s="1"/>
      <c r="R31" s="1"/>
      <c r="S31" s="1"/>
      <c r="T31" s="1"/>
      <c r="U31" s="1"/>
      <c r="V31" s="1"/>
      <c r="W31" s="1"/>
      <c r="X31" s="1"/>
      <c r="Y31" s="1"/>
      <c r="Z31" s="1"/>
    </row>
    <row r="32" spans="1:26" ht="14.4" customHeight="1">
      <c r="A32" s="1"/>
      <c r="B32" s="274"/>
      <c r="C32" s="199"/>
      <c r="D32" s="290"/>
      <c r="E32" s="291"/>
      <c r="F32" s="304"/>
      <c r="G32" s="1"/>
      <c r="H32" s="1"/>
      <c r="I32" s="1"/>
      <c r="J32" s="1"/>
      <c r="K32" s="1"/>
      <c r="L32" s="1"/>
      <c r="M32" s="1"/>
      <c r="N32" s="1"/>
      <c r="O32" s="1"/>
      <c r="P32" s="1"/>
      <c r="Q32" s="1"/>
      <c r="R32" s="1"/>
      <c r="S32" s="1"/>
      <c r="T32" s="1"/>
      <c r="U32" s="1"/>
      <c r="V32" s="1"/>
      <c r="W32" s="1"/>
      <c r="X32" s="1"/>
      <c r="Y32" s="1"/>
      <c r="Z32" s="1"/>
    </row>
    <row r="33" spans="1:26" ht="14.4" customHeight="1">
      <c r="A33" s="1"/>
      <c r="B33" s="274"/>
      <c r="C33" s="199"/>
      <c r="D33" s="290"/>
      <c r="E33" s="291"/>
      <c r="F33" s="304"/>
      <c r="G33" s="1"/>
      <c r="H33" s="1"/>
      <c r="I33" s="1"/>
      <c r="J33" s="1"/>
      <c r="K33" s="1"/>
      <c r="L33" s="1"/>
      <c r="M33" s="1"/>
      <c r="N33" s="1"/>
      <c r="O33" s="1"/>
      <c r="P33" s="1"/>
      <c r="Q33" s="1"/>
      <c r="R33" s="1"/>
      <c r="S33" s="1"/>
      <c r="T33" s="1"/>
      <c r="U33" s="1"/>
      <c r="V33" s="1"/>
      <c r="W33" s="1"/>
      <c r="X33" s="1"/>
      <c r="Y33" s="1"/>
      <c r="Z33" s="1"/>
    </row>
    <row r="34" spans="1:26" ht="14.4" customHeight="1">
      <c r="A34" s="1"/>
      <c r="B34" s="274"/>
      <c r="C34" s="199"/>
      <c r="D34" s="290"/>
      <c r="E34" s="291"/>
      <c r="F34" s="304"/>
      <c r="G34" s="1"/>
      <c r="H34" s="1"/>
      <c r="I34" s="1"/>
      <c r="J34" s="1"/>
      <c r="K34" s="1"/>
      <c r="L34" s="1"/>
      <c r="M34" s="1"/>
      <c r="N34" s="1"/>
      <c r="O34" s="1"/>
      <c r="P34" s="1"/>
      <c r="Q34" s="1"/>
      <c r="R34" s="1"/>
      <c r="S34" s="1"/>
      <c r="T34" s="1"/>
      <c r="U34" s="1"/>
      <c r="V34" s="1"/>
      <c r="W34" s="1"/>
      <c r="X34" s="1"/>
      <c r="Y34" s="1"/>
      <c r="Z34" s="1"/>
    </row>
    <row r="35" spans="1:26" ht="14.4" customHeight="1">
      <c r="A35" s="1"/>
      <c r="B35" s="274"/>
      <c r="C35" s="199"/>
      <c r="D35" s="290"/>
      <c r="E35" s="291"/>
      <c r="F35" s="304"/>
      <c r="G35" s="766"/>
      <c r="H35" s="633"/>
      <c r="I35" s="1"/>
      <c r="J35" s="1"/>
      <c r="K35" s="1"/>
      <c r="L35" s="1"/>
      <c r="M35" s="1"/>
      <c r="N35" s="1"/>
      <c r="O35" s="1"/>
      <c r="P35" s="1"/>
      <c r="Q35" s="1"/>
      <c r="R35" s="1"/>
      <c r="S35" s="1"/>
      <c r="T35" s="1"/>
      <c r="U35" s="1"/>
      <c r="V35" s="1"/>
      <c r="W35" s="1"/>
      <c r="X35" s="1"/>
      <c r="Y35" s="1"/>
      <c r="Z35" s="1"/>
    </row>
    <row r="36" spans="1:26" ht="14.4" customHeight="1">
      <c r="A36" s="1"/>
      <c r="B36" s="274"/>
      <c r="C36" s="275"/>
      <c r="D36" s="290"/>
      <c r="E36" s="291"/>
      <c r="F36" s="304"/>
      <c r="G36" s="765"/>
      <c r="H36" s="633"/>
      <c r="I36" s="1"/>
      <c r="J36" s="1"/>
      <c r="K36" s="1"/>
      <c r="L36" s="1"/>
      <c r="M36" s="1"/>
      <c r="N36" s="1"/>
      <c r="O36" s="1"/>
      <c r="P36" s="1"/>
      <c r="Q36" s="1"/>
      <c r="R36" s="1"/>
      <c r="S36" s="1"/>
      <c r="T36" s="1"/>
      <c r="U36" s="1"/>
      <c r="V36" s="1"/>
      <c r="W36" s="1"/>
      <c r="X36" s="1"/>
      <c r="Y36" s="1"/>
      <c r="Z36" s="1"/>
    </row>
    <row r="37" spans="1:26" ht="14.4" customHeight="1">
      <c r="A37" s="1"/>
      <c r="B37" s="274"/>
      <c r="C37" s="275"/>
      <c r="D37" s="290"/>
      <c r="E37" s="291"/>
      <c r="F37" s="304"/>
      <c r="G37" s="766"/>
      <c r="H37" s="633"/>
      <c r="I37" s="1"/>
      <c r="J37" s="1"/>
      <c r="K37" s="1"/>
      <c r="L37" s="1"/>
      <c r="M37" s="1"/>
      <c r="N37" s="1"/>
      <c r="O37" s="1"/>
      <c r="P37" s="1"/>
      <c r="Q37" s="1"/>
      <c r="R37" s="1"/>
      <c r="S37" s="1"/>
      <c r="T37" s="1"/>
      <c r="U37" s="1"/>
      <c r="V37" s="1"/>
      <c r="W37" s="1"/>
      <c r="X37" s="1"/>
      <c r="Y37" s="1"/>
      <c r="Z37" s="1"/>
    </row>
    <row r="38" spans="1:26" ht="14.4" customHeight="1">
      <c r="A38" s="1"/>
      <c r="B38" s="274"/>
      <c r="C38" s="275"/>
      <c r="D38" s="290"/>
      <c r="E38" s="291"/>
      <c r="F38" s="304"/>
      <c r="G38" s="765"/>
      <c r="H38" s="633"/>
      <c r="I38" s="1"/>
      <c r="J38" s="1"/>
      <c r="K38" s="1"/>
      <c r="L38" s="1"/>
      <c r="M38" s="1"/>
      <c r="N38" s="1"/>
      <c r="O38" s="1"/>
      <c r="P38" s="1"/>
      <c r="Q38" s="1"/>
      <c r="R38" s="1"/>
      <c r="S38" s="1"/>
      <c r="T38" s="1"/>
      <c r="U38" s="1"/>
      <c r="V38" s="1"/>
      <c r="W38" s="1"/>
      <c r="X38" s="1"/>
      <c r="Y38" s="1"/>
      <c r="Z38" s="1"/>
    </row>
    <row r="39" spans="1:26" ht="14.4" customHeight="1">
      <c r="A39" s="1"/>
      <c r="B39" s="274"/>
      <c r="C39" s="275"/>
      <c r="D39" s="290"/>
      <c r="E39" s="291"/>
      <c r="F39" s="304"/>
      <c r="G39" s="765"/>
      <c r="H39" s="633"/>
      <c r="I39" s="1"/>
      <c r="J39" s="1"/>
      <c r="K39" s="1"/>
      <c r="L39" s="1"/>
      <c r="M39" s="1"/>
      <c r="N39" s="1"/>
      <c r="O39" s="1"/>
      <c r="P39" s="1"/>
      <c r="Q39" s="1"/>
      <c r="R39" s="1"/>
      <c r="S39" s="1"/>
      <c r="T39" s="1"/>
      <c r="U39" s="1"/>
      <c r="V39" s="1"/>
      <c r="W39" s="1"/>
      <c r="X39" s="1"/>
      <c r="Y39" s="1"/>
      <c r="Z39" s="1"/>
    </row>
    <row r="40" spans="1:26" ht="14.4" customHeight="1">
      <c r="A40" s="1"/>
      <c r="B40" s="274"/>
      <c r="C40" s="275"/>
      <c r="D40" s="290"/>
      <c r="E40" s="291"/>
      <c r="F40" s="304"/>
      <c r="G40" s="765"/>
      <c r="H40" s="633"/>
      <c r="I40" s="1"/>
      <c r="J40" s="1"/>
      <c r="K40" s="1"/>
      <c r="L40" s="1"/>
      <c r="M40" s="1"/>
      <c r="N40" s="1"/>
      <c r="O40" s="1"/>
      <c r="P40" s="1"/>
      <c r="Q40" s="1"/>
      <c r="R40" s="1"/>
      <c r="S40" s="1"/>
      <c r="T40" s="1"/>
      <c r="U40" s="1"/>
      <c r="V40" s="1"/>
      <c r="W40" s="1"/>
      <c r="X40" s="1"/>
      <c r="Y40" s="1"/>
      <c r="Z40" s="1"/>
    </row>
    <row r="41" spans="1:26" ht="14.4" customHeight="1">
      <c r="A41" s="1"/>
      <c r="B41" s="274"/>
      <c r="C41" s="275"/>
      <c r="D41" s="290"/>
      <c r="E41" s="291"/>
      <c r="F41" s="304"/>
      <c r="G41" s="766"/>
      <c r="H41" s="633"/>
      <c r="I41" s="1"/>
      <c r="J41" s="1"/>
      <c r="K41" s="1"/>
      <c r="L41" s="1"/>
      <c r="M41" s="1"/>
      <c r="N41" s="1"/>
      <c r="O41" s="1"/>
      <c r="P41" s="1"/>
      <c r="Q41" s="1"/>
      <c r="R41" s="1"/>
      <c r="S41" s="1"/>
      <c r="T41" s="1"/>
      <c r="U41" s="1"/>
      <c r="V41" s="1"/>
      <c r="W41" s="1"/>
      <c r="X41" s="1"/>
      <c r="Y41" s="1"/>
      <c r="Z41" s="1"/>
    </row>
    <row r="42" spans="1:26" ht="14.4" customHeight="1">
      <c r="A42" s="1"/>
      <c r="B42" s="274"/>
      <c r="C42" s="275"/>
      <c r="D42" s="290"/>
      <c r="E42" s="291"/>
      <c r="F42" s="304"/>
      <c r="G42" s="766"/>
      <c r="H42" s="633"/>
      <c r="I42" s="1"/>
      <c r="J42" s="1"/>
      <c r="K42" s="1"/>
      <c r="L42" s="1"/>
      <c r="M42" s="1"/>
      <c r="N42" s="1"/>
      <c r="O42" s="1"/>
      <c r="P42" s="1"/>
      <c r="Q42" s="1"/>
      <c r="R42" s="1"/>
      <c r="S42" s="1"/>
      <c r="T42" s="1"/>
      <c r="U42" s="1"/>
      <c r="V42" s="1"/>
      <c r="W42" s="1"/>
      <c r="X42" s="1"/>
      <c r="Y42" s="1"/>
      <c r="Z42" s="1"/>
    </row>
    <row r="43" spans="1:26" ht="14.4" customHeight="1">
      <c r="A43" s="1"/>
      <c r="B43" s="274"/>
      <c r="C43" s="305"/>
      <c r="D43" s="290"/>
      <c r="E43" s="306"/>
      <c r="F43" s="1"/>
      <c r="G43" s="1"/>
      <c r="H43" s="1"/>
      <c r="I43" s="1"/>
      <c r="J43" s="1"/>
      <c r="K43" s="1"/>
      <c r="L43" s="1"/>
      <c r="M43" s="1"/>
      <c r="N43" s="1"/>
      <c r="O43" s="1"/>
      <c r="P43" s="1"/>
      <c r="Q43" s="1"/>
      <c r="R43" s="1"/>
      <c r="S43" s="1"/>
      <c r="T43" s="1"/>
      <c r="U43" s="1"/>
      <c r="V43" s="1"/>
      <c r="W43" s="1"/>
      <c r="X43" s="1"/>
      <c r="Y43" s="1"/>
      <c r="Z43" s="1"/>
    </row>
    <row r="44" spans="1:26" ht="14.4" customHeight="1">
      <c r="A44" s="1"/>
      <c r="B44" s="298"/>
      <c r="C44" s="299"/>
      <c r="D44" s="286"/>
      <c r="E44" s="307"/>
      <c r="F44" s="1"/>
      <c r="G44" s="1"/>
      <c r="H44" s="1"/>
      <c r="I44" s="1"/>
      <c r="J44" s="1"/>
      <c r="K44" s="1"/>
      <c r="L44" s="1"/>
      <c r="M44" s="1"/>
      <c r="N44" s="1"/>
      <c r="O44" s="1"/>
      <c r="P44" s="1"/>
      <c r="Q44" s="1"/>
      <c r="R44" s="1"/>
      <c r="S44" s="1"/>
      <c r="T44" s="1"/>
      <c r="U44" s="1"/>
      <c r="V44" s="1"/>
      <c r="W44" s="1"/>
      <c r="X44" s="1"/>
      <c r="Y44" s="1"/>
      <c r="Z44" s="1"/>
    </row>
    <row r="45" spans="1:26" ht="14.4" customHeight="1">
      <c r="A45" s="1"/>
      <c r="B45" s="764"/>
      <c r="C45" s="641"/>
      <c r="D45" s="641"/>
      <c r="E45" s="308"/>
      <c r="F45" s="1"/>
      <c r="G45" s="1"/>
      <c r="H45" s="1"/>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5.95" customHeight="1">
      <c r="A48" s="1"/>
      <c r="B48" s="622"/>
      <c r="C48" s="620"/>
      <c r="D48" s="620"/>
      <c r="E48" s="621"/>
      <c r="F48" s="1"/>
      <c r="G48" s="1"/>
      <c r="H48" s="1"/>
      <c r="I48" s="1"/>
      <c r="J48" s="1"/>
      <c r="K48" s="1"/>
      <c r="L48" s="1"/>
      <c r="M48" s="1"/>
      <c r="N48" s="1"/>
      <c r="O48" s="1"/>
      <c r="P48" s="1"/>
      <c r="Q48" s="1"/>
      <c r="R48" s="1"/>
      <c r="S48" s="1"/>
      <c r="T48" s="1"/>
      <c r="U48" s="1"/>
      <c r="V48" s="1"/>
      <c r="W48" s="1"/>
      <c r="X48" s="1"/>
      <c r="Y48" s="1"/>
      <c r="Z48" s="1"/>
    </row>
    <row r="49" spans="1:26" ht="15.6" customHeight="1">
      <c r="A49" s="1"/>
      <c r="B49" s="288"/>
      <c r="C49" s="289"/>
      <c r="D49" s="289"/>
      <c r="E49" s="303"/>
      <c r="F49" s="1"/>
      <c r="G49" s="1"/>
      <c r="H49" s="1"/>
      <c r="I49" s="1"/>
      <c r="J49" s="1"/>
      <c r="K49" s="1"/>
      <c r="L49" s="1"/>
      <c r="M49" s="1"/>
      <c r="N49" s="1"/>
      <c r="O49" s="1"/>
      <c r="P49" s="1"/>
      <c r="Q49" s="1"/>
      <c r="R49" s="1"/>
      <c r="S49" s="1"/>
      <c r="T49" s="1"/>
      <c r="U49" s="1"/>
      <c r="V49" s="1"/>
      <c r="W49" s="1"/>
      <c r="X49" s="1"/>
      <c r="Y49" s="1"/>
      <c r="Z49" s="1"/>
    </row>
    <row r="50" spans="1:26" ht="14.4" customHeight="1">
      <c r="A50" s="1"/>
      <c r="B50" s="274"/>
      <c r="C50" s="199"/>
      <c r="D50" s="290"/>
      <c r="E50" s="291"/>
      <c r="F50" s="304"/>
      <c r="G50" s="1"/>
      <c r="H50" s="1"/>
      <c r="I50" s="1"/>
      <c r="J50" s="1"/>
      <c r="K50" s="1"/>
      <c r="L50" s="1"/>
      <c r="M50" s="1"/>
      <c r="N50" s="1"/>
      <c r="O50" s="1"/>
      <c r="P50" s="1"/>
      <c r="Q50" s="1"/>
      <c r="R50" s="1"/>
      <c r="S50" s="1"/>
      <c r="T50" s="1"/>
      <c r="U50" s="1"/>
      <c r="V50" s="1"/>
      <c r="W50" s="1"/>
      <c r="X50" s="1"/>
      <c r="Y50" s="1"/>
      <c r="Z50" s="1"/>
    </row>
    <row r="51" spans="1:26" ht="14.4" customHeight="1">
      <c r="A51" s="1"/>
      <c r="B51" s="274"/>
      <c r="C51" s="199"/>
      <c r="D51" s="290"/>
      <c r="E51" s="291"/>
      <c r="F51" s="304"/>
      <c r="G51" s="1"/>
      <c r="H51" s="1"/>
      <c r="I51" s="1"/>
      <c r="J51" s="1"/>
      <c r="K51" s="1"/>
      <c r="L51" s="1"/>
      <c r="M51" s="1"/>
      <c r="N51" s="1"/>
      <c r="O51" s="1"/>
      <c r="P51" s="1"/>
      <c r="Q51" s="1"/>
      <c r="R51" s="1"/>
      <c r="S51" s="1"/>
      <c r="T51" s="1"/>
      <c r="U51" s="1"/>
      <c r="V51" s="1"/>
      <c r="W51" s="1"/>
      <c r="X51" s="1"/>
      <c r="Y51" s="1"/>
      <c r="Z51" s="1"/>
    </row>
    <row r="52" spans="1:26" ht="14.4" customHeight="1">
      <c r="A52" s="1"/>
      <c r="B52" s="274"/>
      <c r="C52" s="199"/>
      <c r="D52" s="290"/>
      <c r="E52" s="291"/>
      <c r="F52" s="304"/>
      <c r="G52" s="1"/>
      <c r="H52" s="1"/>
      <c r="I52" s="1"/>
      <c r="J52" s="1"/>
      <c r="K52" s="1"/>
      <c r="L52" s="1"/>
      <c r="M52" s="1"/>
      <c r="N52" s="1"/>
      <c r="O52" s="1"/>
      <c r="P52" s="1"/>
      <c r="Q52" s="1"/>
      <c r="R52" s="1"/>
      <c r="S52" s="1"/>
      <c r="T52" s="1"/>
      <c r="U52" s="1"/>
      <c r="V52" s="1"/>
      <c r="W52" s="1"/>
      <c r="X52" s="1"/>
      <c r="Y52" s="1"/>
      <c r="Z52" s="1"/>
    </row>
    <row r="53" spans="1:26" ht="14.4" customHeight="1">
      <c r="A53" s="1"/>
      <c r="B53" s="274"/>
      <c r="C53" s="199"/>
      <c r="D53" s="290"/>
      <c r="E53" s="291"/>
      <c r="F53" s="304"/>
      <c r="G53" s="1"/>
      <c r="H53" s="1"/>
      <c r="I53" s="1"/>
      <c r="J53" s="1"/>
      <c r="K53" s="1"/>
      <c r="L53" s="1"/>
      <c r="M53" s="1"/>
      <c r="N53" s="1"/>
      <c r="O53" s="1"/>
      <c r="P53" s="1"/>
      <c r="Q53" s="1"/>
      <c r="R53" s="1"/>
      <c r="S53" s="1"/>
      <c r="T53" s="1"/>
      <c r="U53" s="1"/>
      <c r="V53" s="1"/>
      <c r="W53" s="1"/>
      <c r="X53" s="1"/>
      <c r="Y53" s="1"/>
      <c r="Z53" s="1"/>
    </row>
    <row r="54" spans="1:26" ht="14.4" customHeight="1">
      <c r="A54" s="1"/>
      <c r="B54" s="274"/>
      <c r="C54" s="275"/>
      <c r="D54" s="290"/>
      <c r="E54" s="291"/>
      <c r="F54" s="304"/>
      <c r="G54" s="1"/>
      <c r="H54" s="1"/>
      <c r="I54" s="1"/>
      <c r="J54" s="1"/>
      <c r="K54" s="1"/>
      <c r="L54" s="1"/>
      <c r="M54" s="1"/>
      <c r="N54" s="1"/>
      <c r="O54" s="1"/>
      <c r="P54" s="1"/>
      <c r="Q54" s="1"/>
      <c r="R54" s="1"/>
      <c r="S54" s="1"/>
      <c r="T54" s="1"/>
      <c r="U54" s="1"/>
      <c r="V54" s="1"/>
      <c r="W54" s="1"/>
      <c r="X54" s="1"/>
      <c r="Y54" s="1"/>
      <c r="Z54" s="1"/>
    </row>
    <row r="55" spans="1:26" ht="14.4" customHeight="1">
      <c r="A55" s="1"/>
      <c r="B55" s="274"/>
      <c r="C55" s="275"/>
      <c r="D55" s="290"/>
      <c r="E55" s="291"/>
      <c r="F55" s="304"/>
      <c r="G55" s="1"/>
      <c r="H55" s="1"/>
      <c r="I55" s="1"/>
      <c r="J55" s="1"/>
      <c r="K55" s="1"/>
      <c r="L55" s="1"/>
      <c r="M55" s="1"/>
      <c r="N55" s="1"/>
      <c r="O55" s="1"/>
      <c r="P55" s="1"/>
      <c r="Q55" s="1"/>
      <c r="R55" s="1"/>
      <c r="S55" s="1"/>
      <c r="T55" s="1"/>
      <c r="U55" s="1"/>
      <c r="V55" s="1"/>
      <c r="W55" s="1"/>
      <c r="X55" s="1"/>
      <c r="Y55" s="1"/>
      <c r="Z55" s="1"/>
    </row>
    <row r="56" spans="1:26" ht="14.4" customHeight="1">
      <c r="A56" s="1"/>
      <c r="B56" s="274"/>
      <c r="C56" s="275"/>
      <c r="D56" s="290"/>
      <c r="E56" s="291"/>
      <c r="F56" s="304"/>
      <c r="G56" s="1"/>
      <c r="H56" s="1"/>
      <c r="I56" s="1"/>
      <c r="J56" s="1"/>
      <c r="K56" s="1"/>
      <c r="L56" s="1"/>
      <c r="M56" s="1"/>
      <c r="N56" s="1"/>
      <c r="O56" s="1"/>
      <c r="P56" s="1"/>
      <c r="Q56" s="1"/>
      <c r="R56" s="1"/>
      <c r="S56" s="1"/>
      <c r="T56" s="1"/>
      <c r="U56" s="1"/>
      <c r="V56" s="1"/>
      <c r="W56" s="1"/>
      <c r="X56" s="1"/>
      <c r="Y56" s="1"/>
      <c r="Z56" s="1"/>
    </row>
    <row r="57" spans="1:26" ht="14.4" customHeight="1">
      <c r="A57" s="1"/>
      <c r="B57" s="274"/>
      <c r="C57" s="275"/>
      <c r="D57" s="290"/>
      <c r="E57" s="291"/>
      <c r="F57" s="304"/>
      <c r="G57" s="1"/>
      <c r="H57" s="1"/>
      <c r="I57" s="1"/>
      <c r="J57" s="1"/>
      <c r="K57" s="1"/>
      <c r="L57" s="1"/>
      <c r="M57" s="1"/>
      <c r="N57" s="1"/>
      <c r="O57" s="1"/>
      <c r="P57" s="1"/>
      <c r="Q57" s="1"/>
      <c r="R57" s="1"/>
      <c r="S57" s="1"/>
      <c r="T57" s="1"/>
      <c r="U57" s="1"/>
      <c r="V57" s="1"/>
      <c r="W57" s="1"/>
      <c r="X57" s="1"/>
      <c r="Y57" s="1"/>
      <c r="Z57" s="1"/>
    </row>
    <row r="58" spans="1:26" ht="14.4" customHeight="1">
      <c r="A58" s="1"/>
      <c r="B58" s="274"/>
      <c r="C58" s="275"/>
      <c r="D58" s="290"/>
      <c r="E58" s="291"/>
      <c r="F58" s="304"/>
      <c r="G58" s="1"/>
      <c r="H58" s="1"/>
      <c r="I58" s="1"/>
      <c r="J58" s="1"/>
      <c r="K58" s="1"/>
      <c r="L58" s="1"/>
      <c r="M58" s="1"/>
      <c r="N58" s="1"/>
      <c r="O58" s="1"/>
      <c r="P58" s="1"/>
      <c r="Q58" s="1"/>
      <c r="R58" s="1"/>
      <c r="S58" s="1"/>
      <c r="T58" s="1"/>
      <c r="U58" s="1"/>
      <c r="V58" s="1"/>
      <c r="W58" s="1"/>
      <c r="X58" s="1"/>
      <c r="Y58" s="1"/>
      <c r="Z58" s="1"/>
    </row>
    <row r="59" spans="1:26" ht="14.4" customHeight="1">
      <c r="A59" s="1"/>
      <c r="B59" s="274"/>
      <c r="C59" s="275"/>
      <c r="D59" s="290"/>
      <c r="E59" s="291"/>
      <c r="F59" s="304"/>
      <c r="G59" s="1"/>
      <c r="H59" s="1"/>
      <c r="I59" s="1"/>
      <c r="J59" s="1"/>
      <c r="K59" s="1"/>
      <c r="L59" s="1"/>
      <c r="M59" s="1"/>
      <c r="N59" s="1"/>
      <c r="O59" s="1"/>
      <c r="P59" s="1"/>
      <c r="Q59" s="1"/>
      <c r="R59" s="1"/>
      <c r="S59" s="1"/>
      <c r="T59" s="1"/>
      <c r="U59" s="1"/>
      <c r="V59" s="1"/>
      <c r="W59" s="1"/>
      <c r="X59" s="1"/>
      <c r="Y59" s="1"/>
      <c r="Z59" s="1"/>
    </row>
    <row r="60" spans="1:26" ht="14.4" customHeight="1">
      <c r="A60" s="1"/>
      <c r="B60" s="274"/>
      <c r="C60" s="275"/>
      <c r="D60" s="290"/>
      <c r="E60" s="291"/>
      <c r="F60" s="304"/>
      <c r="G60" s="1"/>
      <c r="H60" s="1"/>
      <c r="I60" s="1"/>
      <c r="J60" s="1"/>
      <c r="K60" s="1"/>
      <c r="L60" s="1"/>
      <c r="M60" s="1"/>
      <c r="N60" s="1"/>
      <c r="O60" s="1"/>
      <c r="P60" s="1"/>
      <c r="Q60" s="1"/>
      <c r="R60" s="1"/>
      <c r="S60" s="1"/>
      <c r="T60" s="1"/>
      <c r="U60" s="1"/>
      <c r="V60" s="1"/>
      <c r="W60" s="1"/>
      <c r="X60" s="1"/>
      <c r="Y60" s="1"/>
      <c r="Z60" s="1"/>
    </row>
    <row r="61" spans="1:26" ht="14.4" customHeight="1">
      <c r="A61" s="1"/>
      <c r="B61" s="274"/>
      <c r="C61" s="305"/>
      <c r="D61" s="290"/>
      <c r="E61" s="306"/>
      <c r="F61" s="1"/>
      <c r="G61" s="1"/>
      <c r="H61" s="1"/>
      <c r="I61" s="1"/>
      <c r="J61" s="1"/>
      <c r="K61" s="1"/>
      <c r="L61" s="1"/>
      <c r="M61" s="1"/>
      <c r="N61" s="1"/>
      <c r="O61" s="1"/>
      <c r="P61" s="1"/>
      <c r="Q61" s="1"/>
      <c r="R61" s="1"/>
      <c r="S61" s="1"/>
      <c r="T61" s="1"/>
      <c r="U61" s="1"/>
      <c r="V61" s="1"/>
      <c r="W61" s="1"/>
      <c r="X61" s="1"/>
      <c r="Y61" s="1"/>
      <c r="Z61" s="1"/>
    </row>
    <row r="62" spans="1:26" ht="14.4" customHeight="1">
      <c r="A62" s="1"/>
      <c r="B62" s="298"/>
      <c r="C62" s="299"/>
      <c r="D62" s="286"/>
      <c r="E62" s="307"/>
      <c r="F62" s="1"/>
      <c r="G62" s="1"/>
      <c r="H62" s="1"/>
      <c r="I62" s="1"/>
      <c r="J62" s="1"/>
      <c r="K62" s="1"/>
      <c r="L62" s="1"/>
      <c r="M62" s="1"/>
      <c r="N62" s="1"/>
      <c r="O62" s="1"/>
      <c r="P62" s="1"/>
      <c r="Q62" s="1"/>
      <c r="R62" s="1"/>
      <c r="S62" s="1"/>
      <c r="T62" s="1"/>
      <c r="U62" s="1"/>
      <c r="V62" s="1"/>
      <c r="W62" s="1"/>
      <c r="X62" s="1"/>
      <c r="Y62" s="1"/>
      <c r="Z62" s="1"/>
    </row>
    <row r="63" spans="1:26" ht="14.4" customHeight="1">
      <c r="A63" s="1"/>
      <c r="B63" s="764"/>
      <c r="C63" s="641"/>
      <c r="D63" s="641"/>
      <c r="E63" s="308"/>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5.95" customHeight="1">
      <c r="A66" s="1"/>
      <c r="B66" s="622"/>
      <c r="C66" s="620"/>
      <c r="D66" s="620"/>
      <c r="E66" s="621"/>
      <c r="F66" s="1"/>
      <c r="G66" s="1"/>
      <c r="H66" s="1"/>
      <c r="I66" s="1"/>
      <c r="J66" s="1"/>
      <c r="K66" s="1"/>
      <c r="L66" s="1"/>
      <c r="M66" s="1"/>
      <c r="N66" s="1"/>
      <c r="O66" s="1"/>
      <c r="P66" s="1"/>
      <c r="Q66" s="1"/>
      <c r="R66" s="1"/>
      <c r="S66" s="1"/>
      <c r="T66" s="1"/>
      <c r="U66" s="1"/>
      <c r="V66" s="1"/>
      <c r="W66" s="1"/>
      <c r="X66" s="1"/>
      <c r="Y66" s="1"/>
      <c r="Z66" s="1"/>
    </row>
    <row r="67" spans="1:26" ht="15.6" customHeight="1">
      <c r="A67" s="1"/>
      <c r="B67" s="288"/>
      <c r="C67" s="289"/>
      <c r="D67" s="289"/>
      <c r="E67" s="303"/>
      <c r="F67" s="1"/>
      <c r="G67" s="1"/>
      <c r="H67" s="1"/>
      <c r="I67" s="1"/>
      <c r="J67" s="1"/>
      <c r="K67" s="1"/>
      <c r="L67" s="1"/>
      <c r="M67" s="1"/>
      <c r="N67" s="1"/>
      <c r="O67" s="1"/>
      <c r="P67" s="1"/>
      <c r="Q67" s="1"/>
      <c r="R67" s="1"/>
      <c r="S67" s="1"/>
      <c r="T67" s="1"/>
      <c r="U67" s="1"/>
      <c r="V67" s="1"/>
      <c r="W67" s="1"/>
      <c r="X67" s="1"/>
      <c r="Y67" s="1"/>
      <c r="Z67" s="1"/>
    </row>
    <row r="68" spans="1:26" ht="14.4" customHeight="1">
      <c r="A68" s="1"/>
      <c r="B68" s="274"/>
      <c r="C68" s="199"/>
      <c r="D68" s="290"/>
      <c r="E68" s="291"/>
      <c r="F68" s="304"/>
      <c r="G68" s="1"/>
      <c r="H68" s="1"/>
      <c r="I68" s="1"/>
      <c r="J68" s="1"/>
      <c r="K68" s="1"/>
      <c r="L68" s="1"/>
      <c r="M68" s="1"/>
      <c r="N68" s="1"/>
      <c r="O68" s="1"/>
      <c r="P68" s="1"/>
      <c r="Q68" s="1"/>
      <c r="R68" s="1"/>
      <c r="S68" s="1"/>
      <c r="T68" s="1"/>
      <c r="U68" s="1"/>
      <c r="V68" s="1"/>
      <c r="W68" s="1"/>
      <c r="X68" s="1"/>
      <c r="Y68" s="1"/>
      <c r="Z68" s="1"/>
    </row>
    <row r="69" spans="1:26" ht="14.4" customHeight="1">
      <c r="A69" s="1"/>
      <c r="B69" s="274"/>
      <c r="C69" s="199"/>
      <c r="D69" s="290"/>
      <c r="E69" s="291"/>
      <c r="F69" s="304"/>
      <c r="G69" s="1"/>
      <c r="H69" s="1"/>
      <c r="I69" s="1"/>
      <c r="J69" s="1"/>
      <c r="K69" s="1"/>
      <c r="L69" s="1"/>
      <c r="M69" s="1"/>
      <c r="N69" s="1"/>
      <c r="O69" s="1"/>
      <c r="P69" s="1"/>
      <c r="Q69" s="1"/>
      <c r="R69" s="1"/>
      <c r="S69" s="1"/>
      <c r="T69" s="1"/>
      <c r="U69" s="1"/>
      <c r="V69" s="1"/>
      <c r="W69" s="1"/>
      <c r="X69" s="1"/>
      <c r="Y69" s="1"/>
      <c r="Z69" s="1"/>
    </row>
    <row r="70" spans="1:26" ht="14.4" customHeight="1">
      <c r="A70" s="1"/>
      <c r="B70" s="274"/>
      <c r="C70" s="199"/>
      <c r="D70" s="290"/>
      <c r="E70" s="291"/>
      <c r="F70" s="304"/>
      <c r="G70" s="1"/>
      <c r="H70" s="1"/>
      <c r="I70" s="1"/>
      <c r="J70" s="1"/>
      <c r="K70" s="1"/>
      <c r="L70" s="1"/>
      <c r="M70" s="1"/>
      <c r="N70" s="1"/>
      <c r="O70" s="1"/>
      <c r="P70" s="1"/>
      <c r="Q70" s="1"/>
      <c r="R70" s="1"/>
      <c r="S70" s="1"/>
      <c r="T70" s="1"/>
      <c r="U70" s="1"/>
      <c r="V70" s="1"/>
      <c r="W70" s="1"/>
      <c r="X70" s="1"/>
      <c r="Y70" s="1"/>
      <c r="Z70" s="1"/>
    </row>
    <row r="71" spans="1:26" ht="14.4" customHeight="1">
      <c r="A71" s="1"/>
      <c r="B71" s="274"/>
      <c r="C71" s="199"/>
      <c r="D71" s="290"/>
      <c r="E71" s="291"/>
      <c r="F71" s="304"/>
      <c r="G71" s="1"/>
      <c r="H71" s="1"/>
      <c r="I71" s="1"/>
      <c r="J71" s="1"/>
      <c r="K71" s="1"/>
      <c r="L71" s="1"/>
      <c r="M71" s="1"/>
      <c r="N71" s="1"/>
      <c r="O71" s="1"/>
      <c r="P71" s="1"/>
      <c r="Q71" s="1"/>
      <c r="R71" s="1"/>
      <c r="S71" s="1"/>
      <c r="T71" s="1"/>
      <c r="U71" s="1"/>
      <c r="V71" s="1"/>
      <c r="W71" s="1"/>
      <c r="X71" s="1"/>
      <c r="Y71" s="1"/>
      <c r="Z71" s="1"/>
    </row>
    <row r="72" spans="1:26" ht="14.4" customHeight="1">
      <c r="A72" s="1"/>
      <c r="B72" s="274"/>
      <c r="C72" s="275"/>
      <c r="D72" s="290"/>
      <c r="E72" s="291"/>
      <c r="F72" s="304"/>
      <c r="G72" s="1"/>
      <c r="H72" s="1"/>
      <c r="I72" s="1"/>
      <c r="J72" s="1"/>
      <c r="K72" s="1"/>
      <c r="L72" s="1"/>
      <c r="M72" s="1"/>
      <c r="N72" s="1"/>
      <c r="O72" s="1"/>
      <c r="P72" s="1"/>
      <c r="Q72" s="1"/>
      <c r="R72" s="1"/>
      <c r="S72" s="1"/>
      <c r="T72" s="1"/>
      <c r="U72" s="1"/>
      <c r="V72" s="1"/>
      <c r="W72" s="1"/>
      <c r="X72" s="1"/>
      <c r="Y72" s="1"/>
      <c r="Z72" s="1"/>
    </row>
    <row r="73" spans="1:26" ht="14.4" customHeight="1">
      <c r="A73" s="1"/>
      <c r="B73" s="274"/>
      <c r="C73" s="275"/>
      <c r="D73" s="290"/>
      <c r="E73" s="291"/>
      <c r="F73" s="304"/>
      <c r="G73" s="1"/>
      <c r="H73" s="1"/>
      <c r="I73" s="1"/>
      <c r="J73" s="1"/>
      <c r="K73" s="1"/>
      <c r="L73" s="1"/>
      <c r="M73" s="1"/>
      <c r="N73" s="1"/>
      <c r="O73" s="1"/>
      <c r="P73" s="1"/>
      <c r="Q73" s="1"/>
      <c r="R73" s="1"/>
      <c r="S73" s="1"/>
      <c r="T73" s="1"/>
      <c r="U73" s="1"/>
      <c r="V73" s="1"/>
      <c r="W73" s="1"/>
      <c r="X73" s="1"/>
      <c r="Y73" s="1"/>
      <c r="Z73" s="1"/>
    </row>
    <row r="74" spans="1:26" ht="14.4" customHeight="1">
      <c r="A74" s="1"/>
      <c r="B74" s="274"/>
      <c r="C74" s="275"/>
      <c r="D74" s="290"/>
      <c r="E74" s="291"/>
      <c r="F74" s="304"/>
      <c r="G74" s="1"/>
      <c r="H74" s="1"/>
      <c r="I74" s="1"/>
      <c r="J74" s="1"/>
      <c r="K74" s="1"/>
      <c r="L74" s="1"/>
      <c r="M74" s="1"/>
      <c r="N74" s="1"/>
      <c r="O74" s="1"/>
      <c r="P74" s="1"/>
      <c r="Q74" s="1"/>
      <c r="R74" s="1"/>
      <c r="S74" s="1"/>
      <c r="T74" s="1"/>
      <c r="U74" s="1"/>
      <c r="V74" s="1"/>
      <c r="W74" s="1"/>
      <c r="X74" s="1"/>
      <c r="Y74" s="1"/>
      <c r="Z74" s="1"/>
    </row>
    <row r="75" spans="1:26" ht="14.4" customHeight="1">
      <c r="A75" s="1"/>
      <c r="B75" s="274"/>
      <c r="C75" s="275"/>
      <c r="D75" s="290"/>
      <c r="E75" s="291"/>
      <c r="F75" s="304"/>
      <c r="G75" s="1"/>
      <c r="H75" s="1"/>
      <c r="I75" s="1"/>
      <c r="J75" s="1"/>
      <c r="K75" s="1"/>
      <c r="L75" s="1"/>
      <c r="M75" s="1"/>
      <c r="N75" s="1"/>
      <c r="O75" s="1"/>
      <c r="P75" s="1"/>
      <c r="Q75" s="1"/>
      <c r="R75" s="1"/>
      <c r="S75" s="1"/>
      <c r="T75" s="1"/>
      <c r="U75" s="1"/>
      <c r="V75" s="1"/>
      <c r="W75" s="1"/>
      <c r="X75" s="1"/>
      <c r="Y75" s="1"/>
      <c r="Z75" s="1"/>
    </row>
    <row r="76" spans="1:26" ht="14.4" customHeight="1">
      <c r="A76" s="1"/>
      <c r="B76" s="274"/>
      <c r="C76" s="275"/>
      <c r="D76" s="290"/>
      <c r="E76" s="291"/>
      <c r="F76" s="304"/>
      <c r="G76" s="1"/>
      <c r="H76" s="1"/>
      <c r="I76" s="1"/>
      <c r="J76" s="1"/>
      <c r="K76" s="1"/>
      <c r="L76" s="1"/>
      <c r="M76" s="1"/>
      <c r="N76" s="1"/>
      <c r="O76" s="1"/>
      <c r="P76" s="1"/>
      <c r="Q76" s="1"/>
      <c r="R76" s="1"/>
      <c r="S76" s="1"/>
      <c r="T76" s="1"/>
      <c r="U76" s="1"/>
      <c r="V76" s="1"/>
      <c r="W76" s="1"/>
      <c r="X76" s="1"/>
      <c r="Y76" s="1"/>
      <c r="Z76" s="1"/>
    </row>
    <row r="77" spans="1:26" ht="14.4" customHeight="1">
      <c r="A77" s="1"/>
      <c r="B77" s="274"/>
      <c r="C77" s="275"/>
      <c r="D77" s="290"/>
      <c r="E77" s="291"/>
      <c r="F77" s="304"/>
      <c r="G77" s="1"/>
      <c r="H77" s="1"/>
      <c r="I77" s="1"/>
      <c r="J77" s="1"/>
      <c r="K77" s="1"/>
      <c r="L77" s="1"/>
      <c r="M77" s="1"/>
      <c r="N77" s="1"/>
      <c r="O77" s="1"/>
      <c r="P77" s="1"/>
      <c r="Q77" s="1"/>
      <c r="R77" s="1"/>
      <c r="S77" s="1"/>
      <c r="T77" s="1"/>
      <c r="U77" s="1"/>
      <c r="V77" s="1"/>
      <c r="W77" s="1"/>
      <c r="X77" s="1"/>
      <c r="Y77" s="1"/>
      <c r="Z77" s="1"/>
    </row>
    <row r="78" spans="1:26" ht="14.4" customHeight="1">
      <c r="A78" s="1"/>
      <c r="B78" s="274"/>
      <c r="C78" s="275"/>
      <c r="D78" s="290"/>
      <c r="E78" s="291"/>
      <c r="F78" s="304"/>
      <c r="G78" s="1"/>
      <c r="H78" s="1"/>
      <c r="I78" s="1"/>
      <c r="J78" s="1"/>
      <c r="K78" s="1"/>
      <c r="L78" s="1"/>
      <c r="M78" s="1"/>
      <c r="N78" s="1"/>
      <c r="O78" s="1"/>
      <c r="P78" s="1"/>
      <c r="Q78" s="1"/>
      <c r="R78" s="1"/>
      <c r="S78" s="1"/>
      <c r="T78" s="1"/>
      <c r="U78" s="1"/>
      <c r="V78" s="1"/>
      <c r="W78" s="1"/>
      <c r="X78" s="1"/>
      <c r="Y78" s="1"/>
      <c r="Z78" s="1"/>
    </row>
    <row r="79" spans="1:26" ht="14.4" customHeight="1">
      <c r="A79" s="1"/>
      <c r="B79" s="274"/>
      <c r="C79" s="305"/>
      <c r="D79" s="290"/>
      <c r="E79" s="306"/>
      <c r="F79" s="1"/>
      <c r="G79" s="1"/>
      <c r="H79" s="1"/>
      <c r="I79" s="1"/>
      <c r="J79" s="1"/>
      <c r="K79" s="1"/>
      <c r="L79" s="1"/>
      <c r="M79" s="1"/>
      <c r="N79" s="1"/>
      <c r="O79" s="1"/>
      <c r="P79" s="1"/>
      <c r="Q79" s="1"/>
      <c r="R79" s="1"/>
      <c r="S79" s="1"/>
      <c r="T79" s="1"/>
      <c r="U79" s="1"/>
      <c r="V79" s="1"/>
      <c r="W79" s="1"/>
      <c r="X79" s="1"/>
      <c r="Y79" s="1"/>
      <c r="Z79" s="1"/>
    </row>
    <row r="80" spans="1:26" ht="14.4" customHeight="1">
      <c r="A80" s="1"/>
      <c r="B80" s="298"/>
      <c r="C80" s="299"/>
      <c r="D80" s="286"/>
      <c r="E80" s="287"/>
      <c r="F80" s="1"/>
      <c r="G80" s="1"/>
      <c r="H80" s="1"/>
      <c r="I80" s="1"/>
      <c r="J80" s="1"/>
      <c r="K80" s="1"/>
      <c r="L80" s="1"/>
      <c r="M80" s="1"/>
      <c r="N80" s="1"/>
      <c r="O80" s="1"/>
      <c r="P80" s="1"/>
      <c r="Q80" s="1"/>
      <c r="R80" s="1"/>
      <c r="S80" s="1"/>
      <c r="T80" s="1"/>
      <c r="U80" s="1"/>
      <c r="V80" s="1"/>
      <c r="W80" s="1"/>
      <c r="X80" s="1"/>
      <c r="Y80" s="1"/>
      <c r="Z80" s="1"/>
    </row>
    <row r="81" spans="1:26" ht="14.4" customHeight="1">
      <c r="A81" s="1"/>
      <c r="B81" s="764"/>
      <c r="C81" s="641"/>
      <c r="D81" s="641"/>
      <c r="E81" s="308"/>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4"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4"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4"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4"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4"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4"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4"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4"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4"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4"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4"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4"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4"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4"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4"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4"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4"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4"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4"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4"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4"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4"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4"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4"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4"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4"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4"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4"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4"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4"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4"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4"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4"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4"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4"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4"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4"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sheetData>
  <mergeCells count="18">
    <mergeCell ref="B66:E66"/>
    <mergeCell ref="G35:H35"/>
    <mergeCell ref="B28:D28"/>
    <mergeCell ref="B3:D3"/>
    <mergeCell ref="B81:D81"/>
    <mergeCell ref="G3:J3"/>
    <mergeCell ref="B63:D63"/>
    <mergeCell ref="G38:H38"/>
    <mergeCell ref="B45:D45"/>
    <mergeCell ref="G42:H42"/>
    <mergeCell ref="B30:E30"/>
    <mergeCell ref="G39:H39"/>
    <mergeCell ref="G41:H41"/>
    <mergeCell ref="G37:H37"/>
    <mergeCell ref="B48:E48"/>
    <mergeCell ref="G36:H36"/>
    <mergeCell ref="G40:H40"/>
    <mergeCell ref="B9:F9"/>
  </mergeCells>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27"/>
  <sheetViews>
    <sheetView workbookViewId="0"/>
  </sheetViews>
  <sheetFormatPr defaultColWidth="12.59765625" defaultRowHeight="15" customHeight="1"/>
  <cols>
    <col min="1" max="1" width="10" customWidth="1"/>
    <col min="2" max="2" width="16.8984375" customWidth="1"/>
    <col min="3" max="3" width="38.19921875" customWidth="1"/>
    <col min="4" max="4" width="13.3984375" customWidth="1"/>
    <col min="5" max="5" width="19.3984375" customWidth="1"/>
    <col min="6" max="6" width="15.3984375" customWidth="1"/>
    <col min="7" max="7" width="12.59765625" customWidth="1"/>
    <col min="8" max="8" width="12.3984375" customWidth="1"/>
    <col min="9" max="9" width="13.3984375" customWidth="1"/>
    <col min="10" max="10" width="12.3984375" customWidth="1"/>
    <col min="11" max="11" width="13.3984375" customWidth="1"/>
    <col min="12" max="13" width="14.19921875" customWidth="1"/>
    <col min="14" max="26" width="10" customWidth="1"/>
  </cols>
  <sheetData>
    <row r="1" spans="1:26" ht="61.2" customHeight="1">
      <c r="A1" s="8"/>
      <c r="B1" s="8"/>
      <c r="C1" s="8"/>
      <c r="D1" s="8"/>
      <c r="E1" s="8"/>
      <c r="F1" s="8"/>
      <c r="G1" s="192"/>
      <c r="H1" s="202"/>
      <c r="I1" s="8"/>
      <c r="J1" s="8"/>
      <c r="K1" s="8"/>
      <c r="L1" s="8"/>
      <c r="M1" s="8"/>
      <c r="N1" s="8"/>
      <c r="O1" s="8"/>
      <c r="P1" s="1"/>
      <c r="Q1" s="1"/>
      <c r="R1" s="1"/>
      <c r="S1" s="1"/>
      <c r="T1" s="1"/>
      <c r="U1" s="1"/>
      <c r="V1" s="1"/>
      <c r="W1" s="1"/>
      <c r="X1" s="1"/>
      <c r="Y1" s="1"/>
      <c r="Z1" s="1"/>
    </row>
    <row r="2" spans="1:26" ht="14.4" customHeight="1">
      <c r="A2" s="1"/>
      <c r="B2" s="1"/>
      <c r="C2" s="1"/>
      <c r="D2" s="1"/>
      <c r="E2" s="1"/>
      <c r="F2" s="1"/>
      <c r="G2" s="1"/>
      <c r="H2" s="1"/>
      <c r="I2" s="1"/>
      <c r="J2" s="1"/>
      <c r="K2" s="1"/>
      <c r="L2" s="1"/>
      <c r="M2" s="1"/>
      <c r="N2" s="1"/>
      <c r="O2" s="1"/>
      <c r="P2" s="1"/>
      <c r="Q2" s="1"/>
      <c r="R2" s="1"/>
      <c r="S2" s="1"/>
      <c r="T2" s="1"/>
      <c r="U2" s="1"/>
      <c r="V2" s="1"/>
      <c r="W2" s="1"/>
      <c r="X2" s="1"/>
      <c r="Y2" s="1"/>
      <c r="Z2" s="1"/>
    </row>
    <row r="3" spans="1:26" ht="25.95" customHeight="1">
      <c r="A3" s="1"/>
      <c r="B3" s="622"/>
      <c r="C3" s="620"/>
      <c r="D3" s="621"/>
      <c r="E3" s="25"/>
      <c r="F3" s="1"/>
      <c r="G3" s="1"/>
      <c r="H3" s="1"/>
      <c r="I3" s="622"/>
      <c r="J3" s="620"/>
      <c r="K3" s="621"/>
      <c r="L3" s="1"/>
      <c r="M3" s="1"/>
      <c r="N3" s="1"/>
      <c r="O3" s="1"/>
      <c r="P3" s="1"/>
      <c r="Q3" s="1"/>
      <c r="R3" s="1"/>
      <c r="S3" s="1"/>
      <c r="T3" s="1"/>
      <c r="U3" s="1"/>
      <c r="V3" s="1"/>
      <c r="W3" s="1"/>
      <c r="X3" s="1"/>
      <c r="Y3" s="1"/>
      <c r="Z3" s="1"/>
    </row>
    <row r="4" spans="1:26" ht="14.4" customHeight="1">
      <c r="A4" s="1"/>
      <c r="B4" s="52"/>
      <c r="C4" s="52"/>
      <c r="D4" s="52"/>
      <c r="E4" s="201"/>
      <c r="F4" s="1"/>
      <c r="G4" s="1"/>
      <c r="H4" s="1"/>
      <c r="I4" s="52"/>
      <c r="J4" s="52"/>
      <c r="K4" s="52"/>
      <c r="L4" s="1"/>
      <c r="M4" s="1"/>
      <c r="N4" s="1"/>
      <c r="O4" s="1"/>
      <c r="P4" s="1"/>
      <c r="Q4" s="1"/>
      <c r="R4" s="1"/>
      <c r="S4" s="1"/>
      <c r="T4" s="1"/>
      <c r="U4" s="1"/>
      <c r="V4" s="1"/>
      <c r="W4" s="1"/>
      <c r="X4" s="1"/>
      <c r="Y4" s="1"/>
      <c r="Z4" s="1"/>
    </row>
    <row r="5" spans="1:26" ht="14.4" customHeight="1">
      <c r="A5" s="1"/>
      <c r="B5" s="56"/>
      <c r="C5" s="56"/>
      <c r="D5" s="56"/>
      <c r="E5" s="234"/>
      <c r="F5" s="1"/>
      <c r="G5" s="1"/>
      <c r="H5" s="1"/>
      <c r="I5" s="285"/>
      <c r="J5" s="286"/>
      <c r="K5" s="287"/>
      <c r="L5" s="1"/>
      <c r="M5" s="1"/>
      <c r="N5" s="1"/>
      <c r="O5" s="1"/>
      <c r="P5" s="1"/>
      <c r="Q5" s="1"/>
      <c r="R5" s="1"/>
      <c r="S5" s="1"/>
      <c r="T5" s="1"/>
      <c r="U5" s="1"/>
      <c r="V5" s="1"/>
      <c r="W5" s="1"/>
      <c r="X5" s="1"/>
      <c r="Y5" s="1"/>
      <c r="Z5" s="1"/>
    </row>
    <row r="6" spans="1:26" ht="14.4" customHeight="1">
      <c r="A6" s="1"/>
      <c r="B6" s="203"/>
      <c r="C6" s="203"/>
      <c r="D6" s="203"/>
      <c r="E6" s="232"/>
      <c r="F6" s="1"/>
      <c r="G6" s="1"/>
      <c r="H6" s="1"/>
      <c r="I6" s="1"/>
      <c r="J6" s="1"/>
      <c r="K6" s="1"/>
      <c r="L6" s="1"/>
      <c r="M6" s="1"/>
      <c r="N6" s="1"/>
      <c r="O6" s="1"/>
      <c r="P6" s="1"/>
      <c r="Q6" s="1"/>
      <c r="R6" s="1"/>
      <c r="S6" s="1"/>
      <c r="T6" s="1"/>
      <c r="U6" s="1"/>
      <c r="V6" s="1"/>
      <c r="W6" s="1"/>
      <c r="X6" s="1"/>
      <c r="Y6" s="1"/>
      <c r="Z6" s="1"/>
    </row>
    <row r="7" spans="1:26" ht="14.4" customHeight="1">
      <c r="A7" s="1"/>
      <c r="B7" s="1"/>
      <c r="C7" s="1"/>
      <c r="D7" s="1"/>
      <c r="E7" s="1"/>
      <c r="F7" s="1"/>
      <c r="G7" s="1"/>
      <c r="H7" s="1"/>
      <c r="I7" s="1"/>
      <c r="J7" s="1"/>
      <c r="K7" s="1"/>
      <c r="L7" s="1"/>
      <c r="M7" s="1"/>
      <c r="N7" s="1"/>
      <c r="O7" s="1"/>
      <c r="P7" s="1"/>
      <c r="Q7" s="1"/>
      <c r="R7" s="1"/>
      <c r="S7" s="1"/>
      <c r="T7" s="1"/>
      <c r="U7" s="1"/>
      <c r="V7" s="1"/>
      <c r="W7" s="1"/>
      <c r="X7" s="1"/>
      <c r="Y7" s="1"/>
      <c r="Z7" s="1"/>
    </row>
    <row r="8" spans="1:26" ht="25.95" customHeight="1">
      <c r="A8" s="1"/>
      <c r="B8" s="774"/>
      <c r="C8" s="636"/>
      <c r="D8" s="636"/>
      <c r="E8" s="636"/>
      <c r="F8" s="636"/>
      <c r="G8" s="636"/>
      <c r="H8" s="636"/>
      <c r="I8" s="636"/>
      <c r="J8" s="636"/>
      <c r="K8" s="636"/>
      <c r="L8" s="636"/>
      <c r="M8" s="637"/>
      <c r="N8" s="1"/>
      <c r="O8" s="1"/>
      <c r="P8" s="1"/>
      <c r="Q8" s="1"/>
      <c r="R8" s="1"/>
      <c r="S8" s="1"/>
      <c r="T8" s="1"/>
      <c r="U8" s="1"/>
      <c r="V8" s="1"/>
      <c r="W8" s="1"/>
      <c r="X8" s="1"/>
      <c r="Y8" s="1"/>
      <c r="Z8" s="1"/>
    </row>
    <row r="9" spans="1:26" ht="14.4" customHeight="1">
      <c r="A9" s="1"/>
      <c r="B9" s="777"/>
      <c r="C9" s="775"/>
      <c r="D9" s="775"/>
      <c r="E9" s="775"/>
      <c r="F9" s="773"/>
      <c r="G9" s="771"/>
      <c r="H9" s="772"/>
      <c r="I9" s="772"/>
      <c r="J9" s="652"/>
      <c r="K9" s="651"/>
      <c r="L9" s="772"/>
      <c r="M9" s="652"/>
      <c r="N9" s="1"/>
      <c r="O9" s="1"/>
      <c r="P9" s="1"/>
      <c r="Q9" s="1"/>
      <c r="R9" s="1"/>
      <c r="S9" s="1"/>
      <c r="T9" s="1"/>
      <c r="U9" s="1"/>
      <c r="V9" s="1"/>
      <c r="W9" s="1"/>
      <c r="X9" s="1"/>
      <c r="Y9" s="1"/>
      <c r="Z9" s="1"/>
    </row>
    <row r="10" spans="1:26" ht="14.4" customHeight="1">
      <c r="A10" s="1"/>
      <c r="B10" s="769"/>
      <c r="C10" s="776"/>
      <c r="D10" s="776"/>
      <c r="E10" s="776"/>
      <c r="F10" s="717"/>
      <c r="G10" s="309"/>
      <c r="H10" s="310"/>
      <c r="I10" s="310"/>
      <c r="J10" s="311"/>
      <c r="K10" s="310"/>
      <c r="L10" s="310"/>
      <c r="M10" s="311"/>
      <c r="N10" s="1"/>
      <c r="O10" s="1"/>
      <c r="P10" s="1"/>
      <c r="Q10" s="1"/>
      <c r="R10" s="1"/>
      <c r="S10" s="1"/>
      <c r="T10" s="1"/>
      <c r="U10" s="1"/>
      <c r="V10" s="1"/>
      <c r="W10" s="1"/>
      <c r="X10" s="1"/>
      <c r="Y10" s="1"/>
      <c r="Z10" s="1"/>
    </row>
    <row r="11" spans="1:26" ht="14.4" customHeight="1">
      <c r="A11" s="11"/>
      <c r="B11" s="768"/>
      <c r="C11" s="312"/>
      <c r="D11" s="313"/>
      <c r="E11" s="314"/>
      <c r="F11" s="315"/>
      <c r="G11" s="316"/>
      <c r="H11" s="317"/>
      <c r="I11" s="317"/>
      <c r="J11" s="318"/>
      <c r="K11" s="319"/>
      <c r="L11" s="320"/>
      <c r="M11" s="321"/>
      <c r="N11" s="151"/>
      <c r="O11" s="1"/>
      <c r="P11" s="1"/>
      <c r="Q11" s="1"/>
      <c r="R11" s="1"/>
      <c r="S11" s="1"/>
      <c r="T11" s="1"/>
      <c r="U11" s="1"/>
      <c r="V11" s="1"/>
      <c r="W11" s="1"/>
      <c r="X11" s="1"/>
      <c r="Y11" s="1"/>
      <c r="Z11" s="1"/>
    </row>
    <row r="12" spans="1:26" ht="14.4" customHeight="1">
      <c r="A12" s="11"/>
      <c r="B12" s="686"/>
      <c r="C12" s="322"/>
      <c r="D12" s="275"/>
      <c r="E12" s="290"/>
      <c r="F12" s="323"/>
      <c r="G12" s="324"/>
      <c r="H12" s="325"/>
      <c r="I12" s="326"/>
      <c r="J12" s="327"/>
      <c r="K12" s="328"/>
      <c r="L12" s="329"/>
      <c r="M12" s="330"/>
      <c r="N12" s="151"/>
      <c r="O12" s="1"/>
      <c r="P12" s="1"/>
      <c r="Q12" s="1"/>
      <c r="R12" s="1"/>
      <c r="S12" s="1"/>
      <c r="T12" s="1"/>
      <c r="U12" s="1"/>
      <c r="V12" s="1"/>
      <c r="W12" s="1"/>
      <c r="X12" s="1"/>
      <c r="Y12" s="1"/>
      <c r="Z12" s="1"/>
    </row>
    <row r="13" spans="1:26" ht="14.4" customHeight="1">
      <c r="A13" s="11"/>
      <c r="B13" s="686"/>
      <c r="C13" s="322"/>
      <c r="D13" s="275"/>
      <c r="E13" s="290"/>
      <c r="F13" s="323"/>
      <c r="G13" s="324"/>
      <c r="H13" s="326"/>
      <c r="I13" s="325"/>
      <c r="J13" s="327"/>
      <c r="K13" s="328"/>
      <c r="L13" s="331"/>
      <c r="M13" s="330"/>
      <c r="N13" s="151"/>
      <c r="O13" s="1"/>
      <c r="P13" s="1"/>
      <c r="Q13" s="1"/>
      <c r="R13" s="1"/>
      <c r="S13" s="1"/>
      <c r="T13" s="1"/>
      <c r="U13" s="1"/>
      <c r="V13" s="1"/>
      <c r="W13" s="1"/>
      <c r="X13" s="1"/>
      <c r="Y13" s="1"/>
      <c r="Z13" s="1"/>
    </row>
    <row r="14" spans="1:26" ht="14.4" customHeight="1">
      <c r="A14" s="11"/>
      <c r="B14" s="769"/>
      <c r="C14" s="332"/>
      <c r="D14" s="299"/>
      <c r="E14" s="286"/>
      <c r="F14" s="333"/>
      <c r="G14" s="334"/>
      <c r="H14" s="335"/>
      <c r="I14" s="335"/>
      <c r="J14" s="336"/>
      <c r="K14" s="337"/>
      <c r="L14" s="338"/>
      <c r="M14" s="339"/>
      <c r="N14" s="151"/>
      <c r="O14" s="1"/>
      <c r="P14" s="1"/>
      <c r="Q14" s="1"/>
      <c r="R14" s="1"/>
      <c r="S14" s="1"/>
      <c r="T14" s="1"/>
      <c r="U14" s="1"/>
      <c r="V14" s="1"/>
      <c r="W14" s="1"/>
      <c r="X14" s="1"/>
      <c r="Y14" s="1"/>
      <c r="Z14" s="1"/>
    </row>
    <row r="15" spans="1:26" ht="14.4" customHeight="1">
      <c r="A15" s="11"/>
      <c r="B15" s="770"/>
      <c r="C15" s="312"/>
      <c r="D15" s="313"/>
      <c r="E15" s="314"/>
      <c r="F15" s="315"/>
      <c r="G15" s="316"/>
      <c r="H15" s="317"/>
      <c r="I15" s="317"/>
      <c r="J15" s="318"/>
      <c r="K15" s="319"/>
      <c r="L15" s="320"/>
      <c r="M15" s="321"/>
      <c r="N15" s="151"/>
      <c r="O15" s="1"/>
      <c r="P15" s="1"/>
      <c r="Q15" s="1"/>
      <c r="R15" s="1"/>
      <c r="S15" s="1"/>
      <c r="T15" s="1"/>
      <c r="U15" s="1"/>
      <c r="V15" s="1"/>
      <c r="W15" s="1"/>
      <c r="X15" s="1"/>
      <c r="Y15" s="1"/>
      <c r="Z15" s="1"/>
    </row>
    <row r="16" spans="1:26" ht="14.4" customHeight="1">
      <c r="A16" s="11"/>
      <c r="B16" s="686"/>
      <c r="C16" s="322"/>
      <c r="D16" s="275"/>
      <c r="E16" s="290"/>
      <c r="F16" s="323"/>
      <c r="G16" s="324"/>
      <c r="H16" s="326"/>
      <c r="I16" s="325"/>
      <c r="J16" s="327"/>
      <c r="K16" s="328"/>
      <c r="L16" s="331"/>
      <c r="M16" s="330"/>
      <c r="N16" s="151"/>
      <c r="O16" s="1"/>
      <c r="P16" s="1"/>
      <c r="Q16" s="1"/>
      <c r="R16" s="1"/>
      <c r="S16" s="1"/>
      <c r="T16" s="1"/>
      <c r="U16" s="1"/>
      <c r="V16" s="1"/>
      <c r="W16" s="1"/>
      <c r="X16" s="1"/>
      <c r="Y16" s="1"/>
      <c r="Z16" s="1"/>
    </row>
    <row r="17" spans="1:26" ht="14.4" customHeight="1">
      <c r="A17" s="11"/>
      <c r="B17" s="686"/>
      <c r="C17" s="322"/>
      <c r="D17" s="275"/>
      <c r="E17" s="290"/>
      <c r="F17" s="323"/>
      <c r="G17" s="324"/>
      <c r="H17" s="326"/>
      <c r="I17" s="326"/>
      <c r="J17" s="340"/>
      <c r="K17" s="328"/>
      <c r="L17" s="331"/>
      <c r="M17" s="341"/>
      <c r="N17" s="151"/>
      <c r="O17" s="1"/>
      <c r="P17" s="1"/>
      <c r="Q17" s="1"/>
      <c r="R17" s="1"/>
      <c r="S17" s="1"/>
      <c r="T17" s="1"/>
      <c r="U17" s="1"/>
      <c r="V17" s="1"/>
      <c r="W17" s="1"/>
      <c r="X17" s="1"/>
      <c r="Y17" s="1"/>
      <c r="Z17" s="1"/>
    </row>
    <row r="18" spans="1:26" ht="14.4" customHeight="1">
      <c r="A18" s="11"/>
      <c r="B18" s="686"/>
      <c r="C18" s="322"/>
      <c r="D18" s="275"/>
      <c r="E18" s="290"/>
      <c r="F18" s="323"/>
      <c r="G18" s="342"/>
      <c r="H18" s="326"/>
      <c r="I18" s="326"/>
      <c r="J18" s="327"/>
      <c r="K18" s="343"/>
      <c r="L18" s="329"/>
      <c r="M18" s="330"/>
      <c r="N18" s="151"/>
      <c r="O18" s="1"/>
      <c r="P18" s="1"/>
      <c r="Q18" s="1"/>
      <c r="R18" s="1"/>
      <c r="S18" s="1"/>
      <c r="T18" s="1"/>
      <c r="U18" s="1"/>
      <c r="V18" s="1"/>
      <c r="W18" s="1"/>
      <c r="X18" s="1"/>
      <c r="Y18" s="1"/>
      <c r="Z18" s="1"/>
    </row>
    <row r="19" spans="1:26" ht="14.4" customHeight="1">
      <c r="A19" s="11"/>
      <c r="B19" s="686"/>
      <c r="C19" s="322"/>
      <c r="D19" s="344"/>
      <c r="E19" s="290"/>
      <c r="F19" s="323"/>
      <c r="G19" s="324"/>
      <c r="H19" s="326"/>
      <c r="I19" s="325"/>
      <c r="J19" s="327"/>
      <c r="K19" s="328"/>
      <c r="L19" s="331"/>
      <c r="M19" s="330"/>
      <c r="N19" s="151"/>
      <c r="O19" s="1"/>
      <c r="P19" s="1"/>
      <c r="Q19" s="1"/>
      <c r="R19" s="1"/>
      <c r="S19" s="1"/>
      <c r="T19" s="1"/>
      <c r="U19" s="1"/>
      <c r="V19" s="1"/>
      <c r="W19" s="1"/>
      <c r="X19" s="1"/>
      <c r="Y19" s="1"/>
      <c r="Z19" s="1"/>
    </row>
    <row r="20" spans="1:26" ht="14.4" customHeight="1">
      <c r="A20" s="11"/>
      <c r="B20" s="769"/>
      <c r="C20" s="332"/>
      <c r="D20" s="299"/>
      <c r="E20" s="286"/>
      <c r="F20" s="333"/>
      <c r="G20" s="334"/>
      <c r="H20" s="335"/>
      <c r="I20" s="335"/>
      <c r="J20" s="336"/>
      <c r="K20" s="337"/>
      <c r="L20" s="338"/>
      <c r="M20" s="339"/>
      <c r="N20" s="151"/>
      <c r="O20" s="1"/>
      <c r="P20" s="1"/>
      <c r="Q20" s="1"/>
      <c r="R20" s="1"/>
      <c r="S20" s="1"/>
      <c r="T20" s="1"/>
      <c r="U20" s="1"/>
      <c r="V20" s="1"/>
      <c r="W20" s="1"/>
      <c r="X20" s="1"/>
      <c r="Y20" s="1"/>
      <c r="Z20" s="1"/>
    </row>
    <row r="21" spans="1:26" ht="14.4" customHeight="1">
      <c r="A21" s="11"/>
      <c r="B21" s="768"/>
      <c r="C21" s="312"/>
      <c r="D21" s="197"/>
      <c r="E21" s="314"/>
      <c r="F21" s="315"/>
      <c r="G21" s="316"/>
      <c r="H21" s="317"/>
      <c r="I21" s="317"/>
      <c r="J21" s="318"/>
      <c r="K21" s="319"/>
      <c r="L21" s="320"/>
      <c r="M21" s="321"/>
      <c r="N21" s="151"/>
      <c r="O21" s="1"/>
      <c r="P21" s="1"/>
      <c r="Q21" s="1"/>
      <c r="R21" s="1"/>
      <c r="S21" s="1"/>
      <c r="T21" s="1"/>
      <c r="U21" s="1"/>
      <c r="V21" s="1"/>
      <c r="W21" s="1"/>
      <c r="X21" s="1"/>
      <c r="Y21" s="1"/>
      <c r="Z21" s="1"/>
    </row>
    <row r="22" spans="1:26" ht="14.4" customHeight="1">
      <c r="A22" s="11"/>
      <c r="B22" s="686"/>
      <c r="C22" s="322"/>
      <c r="D22" s="275"/>
      <c r="E22" s="290"/>
      <c r="F22" s="323"/>
      <c r="G22" s="342"/>
      <c r="H22" s="326"/>
      <c r="I22" s="326"/>
      <c r="J22" s="327"/>
      <c r="K22" s="343"/>
      <c r="L22" s="329"/>
      <c r="M22" s="330"/>
      <c r="N22" s="151"/>
      <c r="O22" s="1"/>
      <c r="P22" s="1"/>
      <c r="Q22" s="1"/>
      <c r="R22" s="1"/>
      <c r="S22" s="1"/>
      <c r="T22" s="1"/>
      <c r="U22" s="1"/>
      <c r="V22" s="1"/>
      <c r="W22" s="1"/>
      <c r="X22" s="1"/>
      <c r="Y22" s="1"/>
      <c r="Z22" s="1"/>
    </row>
    <row r="23" spans="1:26" ht="14.4" customHeight="1">
      <c r="A23" s="11"/>
      <c r="B23" s="686"/>
      <c r="C23" s="322"/>
      <c r="D23" s="275"/>
      <c r="E23" s="290"/>
      <c r="F23" s="323"/>
      <c r="G23" s="342"/>
      <c r="H23" s="326"/>
      <c r="I23" s="326"/>
      <c r="J23" s="327"/>
      <c r="K23" s="343"/>
      <c r="L23" s="329"/>
      <c r="M23" s="330"/>
      <c r="N23" s="151"/>
      <c r="O23" s="1"/>
      <c r="P23" s="1"/>
      <c r="Q23" s="1"/>
      <c r="R23" s="1"/>
      <c r="S23" s="1"/>
      <c r="T23" s="1"/>
      <c r="U23" s="1"/>
      <c r="V23" s="1"/>
      <c r="W23" s="1"/>
      <c r="X23" s="1"/>
      <c r="Y23" s="1"/>
      <c r="Z23" s="1"/>
    </row>
    <row r="24" spans="1:26" ht="14.4" customHeight="1">
      <c r="A24" s="11"/>
      <c r="B24" s="686"/>
      <c r="C24" s="322"/>
      <c r="D24" s="275"/>
      <c r="E24" s="290"/>
      <c r="F24" s="323"/>
      <c r="G24" s="342"/>
      <c r="H24" s="326"/>
      <c r="I24" s="326"/>
      <c r="J24" s="327"/>
      <c r="K24" s="343"/>
      <c r="L24" s="329"/>
      <c r="M24" s="330"/>
      <c r="N24" s="151"/>
      <c r="O24" s="1"/>
      <c r="P24" s="1"/>
      <c r="Q24" s="1"/>
      <c r="R24" s="1"/>
      <c r="S24" s="1"/>
      <c r="T24" s="1"/>
      <c r="U24" s="1"/>
      <c r="V24" s="1"/>
      <c r="W24" s="1"/>
      <c r="X24" s="1"/>
      <c r="Y24" s="1"/>
      <c r="Z24" s="1"/>
    </row>
    <row r="25" spans="1:26" ht="14.4" customHeight="1">
      <c r="A25" s="11"/>
      <c r="B25" s="686"/>
      <c r="C25" s="322"/>
      <c r="D25" s="275"/>
      <c r="E25" s="290"/>
      <c r="F25" s="323"/>
      <c r="G25" s="342"/>
      <c r="H25" s="326"/>
      <c r="I25" s="326"/>
      <c r="J25" s="327"/>
      <c r="K25" s="343"/>
      <c r="L25" s="329"/>
      <c r="M25" s="330"/>
      <c r="N25" s="151"/>
      <c r="O25" s="1"/>
      <c r="P25" s="1"/>
      <c r="Q25" s="1"/>
      <c r="R25" s="1"/>
      <c r="S25" s="1"/>
      <c r="T25" s="1"/>
      <c r="U25" s="1"/>
      <c r="V25" s="1"/>
      <c r="W25" s="1"/>
      <c r="X25" s="1"/>
      <c r="Y25" s="1"/>
      <c r="Z25" s="1"/>
    </row>
    <row r="26" spans="1:26" ht="14.4" customHeight="1">
      <c r="A26" s="11"/>
      <c r="B26" s="769"/>
      <c r="C26" s="332"/>
      <c r="D26" s="299"/>
      <c r="E26" s="286"/>
      <c r="F26" s="333"/>
      <c r="G26" s="345"/>
      <c r="H26" s="335"/>
      <c r="I26" s="335"/>
      <c r="J26" s="346"/>
      <c r="K26" s="347"/>
      <c r="L26" s="348"/>
      <c r="M26" s="349"/>
      <c r="N26" s="151"/>
      <c r="O26" s="1"/>
      <c r="P26" s="1"/>
      <c r="Q26" s="1"/>
      <c r="R26" s="1"/>
      <c r="S26" s="1"/>
      <c r="T26" s="1"/>
      <c r="U26" s="1"/>
      <c r="V26" s="1"/>
      <c r="W26" s="1"/>
      <c r="X26" s="1"/>
      <c r="Y26" s="1"/>
      <c r="Z26" s="1"/>
    </row>
    <row r="27" spans="1:26" ht="15.6" customHeight="1">
      <c r="A27" s="1"/>
      <c r="B27" s="767"/>
      <c r="C27" s="620"/>
      <c r="D27" s="620"/>
      <c r="E27" s="620"/>
      <c r="F27" s="620"/>
      <c r="G27" s="620"/>
      <c r="H27" s="620"/>
      <c r="I27" s="620"/>
      <c r="J27" s="621"/>
      <c r="K27" s="350"/>
      <c r="L27" s="351"/>
      <c r="M27" s="352"/>
      <c r="N27" s="1"/>
      <c r="O27" s="1"/>
      <c r="P27" s="1"/>
      <c r="Q27" s="1"/>
      <c r="R27" s="1"/>
      <c r="S27" s="1"/>
      <c r="T27" s="1"/>
      <c r="U27" s="1"/>
      <c r="V27" s="1"/>
      <c r="W27" s="1"/>
      <c r="X27" s="1"/>
      <c r="Y27" s="1"/>
      <c r="Z27" s="1"/>
    </row>
    <row r="28" spans="1:26" ht="14.4"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4"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4"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4"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4"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4"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4"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4"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4"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4"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4"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4"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4"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4"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sheetData>
  <mergeCells count="14">
    <mergeCell ref="B27:J27"/>
    <mergeCell ref="B11:B14"/>
    <mergeCell ref="I3:K3"/>
    <mergeCell ref="B15:B20"/>
    <mergeCell ref="G9:J9"/>
    <mergeCell ref="F9:F10"/>
    <mergeCell ref="B21:B26"/>
    <mergeCell ref="K9:M9"/>
    <mergeCell ref="B8:M8"/>
    <mergeCell ref="C9:C10"/>
    <mergeCell ref="B9:B10"/>
    <mergeCell ref="B3:D3"/>
    <mergeCell ref="E9:E10"/>
    <mergeCell ref="D9:D10"/>
  </mergeCells>
  <pageMargins left="0.7" right="0.7" top="0.75" bottom="0.75"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40"/>
  <sheetViews>
    <sheetView topLeftCell="A8" workbookViewId="0"/>
  </sheetViews>
  <sheetFormatPr defaultColWidth="12.59765625" defaultRowHeight="15" customHeight="1"/>
  <cols>
    <col min="1" max="1" width="5.19921875" customWidth="1"/>
    <col min="2" max="2" width="13.09765625" customWidth="1"/>
    <col min="3" max="3" width="25.8984375" customWidth="1"/>
    <col min="4" max="4" width="17.19921875" customWidth="1"/>
    <col min="5" max="5" width="16.59765625" customWidth="1"/>
    <col min="6" max="6" width="13.5" bestFit="1" customWidth="1"/>
    <col min="7" max="7" width="20.19921875" customWidth="1"/>
    <col min="8" max="8" width="12.3984375" customWidth="1"/>
    <col min="9" max="9" width="12.69921875" customWidth="1"/>
    <col min="10" max="10" width="13.19921875" customWidth="1"/>
    <col min="11" max="11" width="15.19921875" customWidth="1"/>
    <col min="12" max="12" width="15.3984375" customWidth="1"/>
    <col min="13" max="13" width="26.3984375" customWidth="1"/>
    <col min="14" max="14" width="20.59765625" customWidth="1"/>
    <col min="15" max="26" width="10" customWidth="1"/>
  </cols>
  <sheetData>
    <row r="1" spans="1:26" ht="45" customHeight="1">
      <c r="A1" s="8"/>
      <c r="B1" s="8"/>
      <c r="C1" s="8"/>
      <c r="D1" s="8"/>
      <c r="E1" s="192"/>
      <c r="F1" s="202"/>
      <c r="G1" s="202"/>
      <c r="H1" s="8"/>
      <c r="I1" s="8"/>
      <c r="J1" s="8"/>
      <c r="K1" s="8"/>
      <c r="L1" s="8"/>
      <c r="M1" s="8"/>
      <c r="N1" s="8"/>
      <c r="O1" s="8"/>
      <c r="P1" s="1"/>
      <c r="Q1" s="1"/>
      <c r="R1" s="1"/>
      <c r="S1" s="1"/>
      <c r="T1" s="1"/>
      <c r="U1" s="1"/>
      <c r="V1" s="1"/>
      <c r="W1" s="1"/>
      <c r="X1" s="1"/>
      <c r="Y1" s="1"/>
      <c r="Z1" s="1"/>
    </row>
    <row r="2" spans="1:26" ht="15" customHeight="1">
      <c r="A2" s="1"/>
      <c r="B2" s="1"/>
      <c r="C2" s="1"/>
      <c r="D2" s="1"/>
      <c r="E2" s="1"/>
      <c r="F2" s="1"/>
      <c r="G2" s="1"/>
      <c r="H2" s="1"/>
      <c r="I2" s="1"/>
      <c r="J2" s="1"/>
      <c r="K2" s="1"/>
      <c r="L2" s="1"/>
      <c r="M2" s="1"/>
      <c r="N2" s="1"/>
      <c r="O2" s="1"/>
      <c r="P2" s="1"/>
      <c r="Q2" s="1"/>
      <c r="R2" s="1"/>
      <c r="S2" s="1"/>
      <c r="T2" s="1"/>
      <c r="U2" s="1"/>
      <c r="V2" s="1"/>
      <c r="W2" s="1"/>
      <c r="X2" s="1"/>
      <c r="Y2" s="1"/>
      <c r="Z2" s="1"/>
    </row>
    <row r="3" spans="1:26" ht="15" customHeight="1">
      <c r="A3" s="1"/>
      <c r="B3" s="1"/>
      <c r="C3" s="1"/>
      <c r="D3" s="1"/>
      <c r="E3" s="1"/>
      <c r="F3" s="1"/>
      <c r="G3" s="1"/>
      <c r="H3" s="194"/>
      <c r="I3" s="1"/>
      <c r="J3" s="1"/>
      <c r="K3" s="622"/>
      <c r="L3" s="620"/>
      <c r="M3" s="621"/>
      <c r="N3" s="1"/>
      <c r="O3" s="1"/>
      <c r="P3" s="1"/>
      <c r="Q3" s="1"/>
      <c r="R3" s="1"/>
      <c r="S3" s="1"/>
      <c r="T3" s="1"/>
      <c r="U3" s="1"/>
      <c r="V3" s="1"/>
      <c r="W3" s="1"/>
      <c r="X3" s="1"/>
      <c r="Y3" s="1"/>
      <c r="Z3" s="1"/>
    </row>
    <row r="4" spans="1:26" ht="15" customHeight="1">
      <c r="A4" s="1"/>
      <c r="B4" s="1"/>
      <c r="C4" s="1"/>
      <c r="D4" s="1"/>
      <c r="E4" s="1"/>
      <c r="F4" s="1"/>
      <c r="G4" s="1"/>
      <c r="H4" s="201"/>
      <c r="I4" s="1"/>
      <c r="J4" s="11"/>
      <c r="K4" s="353"/>
      <c r="L4" s="354"/>
      <c r="M4" s="355"/>
      <c r="N4" s="151"/>
      <c r="O4" s="1"/>
      <c r="P4" s="1"/>
      <c r="Q4" s="1"/>
      <c r="R4" s="1"/>
      <c r="S4" s="1"/>
      <c r="T4" s="1"/>
      <c r="U4" s="1"/>
      <c r="V4" s="1"/>
      <c r="W4" s="1"/>
      <c r="X4" s="1"/>
      <c r="Y4" s="1"/>
      <c r="Z4" s="1"/>
    </row>
    <row r="5" spans="1:26" ht="15" customHeight="1">
      <c r="A5" s="1"/>
      <c r="B5" s="1"/>
      <c r="C5" s="1"/>
      <c r="D5" s="1"/>
      <c r="E5" s="1"/>
      <c r="F5" s="1"/>
      <c r="G5" s="1"/>
      <c r="H5" s="232"/>
      <c r="I5" s="1"/>
      <c r="J5" s="11"/>
      <c r="K5" s="55"/>
      <c r="L5" s="56"/>
      <c r="M5" s="57"/>
      <c r="N5" s="151"/>
      <c r="O5" s="1"/>
      <c r="P5" s="1"/>
      <c r="Q5" s="1"/>
      <c r="R5" s="1"/>
      <c r="S5" s="1"/>
      <c r="T5" s="1"/>
      <c r="U5" s="1"/>
      <c r="V5" s="1"/>
      <c r="W5" s="1"/>
      <c r="X5" s="1"/>
      <c r="Y5" s="1"/>
      <c r="Z5" s="1"/>
    </row>
    <row r="6" spans="1:26" ht="15" customHeight="1">
      <c r="A6" s="1"/>
      <c r="B6" s="1"/>
      <c r="C6" s="1"/>
      <c r="D6" s="1"/>
      <c r="E6" s="1"/>
      <c r="F6" s="1"/>
      <c r="G6" s="1"/>
      <c r="H6" s="1"/>
      <c r="I6" s="1"/>
      <c r="J6" s="11"/>
      <c r="K6" s="58"/>
      <c r="L6" s="59"/>
      <c r="M6" s="60"/>
      <c r="N6" s="151"/>
      <c r="O6" s="1"/>
      <c r="P6" s="1"/>
      <c r="Q6" s="1"/>
      <c r="R6" s="1"/>
      <c r="S6" s="1"/>
      <c r="T6" s="1"/>
      <c r="U6" s="1"/>
      <c r="V6" s="1"/>
      <c r="W6" s="1"/>
      <c r="X6" s="1"/>
      <c r="Y6" s="1"/>
      <c r="Z6" s="1"/>
    </row>
    <row r="7" spans="1:26" ht="15" customHeight="1">
      <c r="A7" s="1"/>
      <c r="B7" s="1"/>
      <c r="C7" s="1"/>
      <c r="D7" s="1"/>
      <c r="E7" s="1"/>
      <c r="F7" s="1"/>
      <c r="G7" s="1"/>
      <c r="H7" s="1"/>
      <c r="I7" s="1"/>
      <c r="J7" s="1"/>
      <c r="K7" s="13"/>
      <c r="L7" s="13"/>
      <c r="M7" s="13"/>
      <c r="N7" s="1"/>
      <c r="O7" s="1"/>
      <c r="P7" s="1"/>
      <c r="Q7" s="1"/>
      <c r="R7" s="1"/>
      <c r="S7" s="1"/>
      <c r="T7" s="1"/>
      <c r="U7" s="1"/>
      <c r="V7" s="1"/>
      <c r="W7" s="1"/>
      <c r="X7" s="1"/>
      <c r="Y7" s="1"/>
      <c r="Z7" s="1"/>
    </row>
    <row r="8" spans="1:26" ht="15" customHeight="1">
      <c r="A8" s="1"/>
      <c r="B8" s="1"/>
      <c r="C8" s="1"/>
      <c r="D8" s="1"/>
      <c r="E8" s="1"/>
      <c r="F8" s="1"/>
      <c r="G8" s="1"/>
      <c r="H8" s="194"/>
      <c r="I8" s="1"/>
      <c r="J8" s="1"/>
      <c r="K8" s="622"/>
      <c r="L8" s="620"/>
      <c r="M8" s="621"/>
      <c r="N8" s="1"/>
      <c r="O8" s="1"/>
      <c r="P8" s="1"/>
      <c r="Q8" s="1"/>
      <c r="R8" s="1"/>
      <c r="S8" s="1"/>
      <c r="T8" s="1"/>
      <c r="U8" s="1"/>
      <c r="V8" s="1"/>
      <c r="W8" s="1"/>
      <c r="X8" s="1"/>
      <c r="Y8" s="1"/>
      <c r="Z8" s="1"/>
    </row>
    <row r="9" spans="1:26" ht="15" customHeight="1">
      <c r="A9" s="1"/>
      <c r="B9" s="1"/>
      <c r="C9" s="1"/>
      <c r="D9" s="1"/>
      <c r="E9" s="1"/>
      <c r="F9" s="1"/>
      <c r="G9" s="1"/>
      <c r="H9" s="201"/>
      <c r="I9" s="1"/>
      <c r="J9" s="356"/>
      <c r="K9" s="353"/>
      <c r="L9" s="354"/>
      <c r="M9" s="355"/>
      <c r="N9" s="151"/>
      <c r="O9" s="1"/>
      <c r="P9" s="1"/>
      <c r="Q9" s="1"/>
      <c r="R9" s="1"/>
      <c r="S9" s="1"/>
      <c r="T9" s="1"/>
      <c r="U9" s="1"/>
      <c r="V9" s="1"/>
      <c r="W9" s="1"/>
      <c r="X9" s="1"/>
      <c r="Y9" s="1"/>
      <c r="Z9" s="1"/>
    </row>
    <row r="10" spans="1:26" ht="15" customHeight="1">
      <c r="A10" s="1"/>
      <c r="B10" s="622"/>
      <c r="C10" s="620"/>
      <c r="D10" s="620"/>
      <c r="E10" s="620"/>
      <c r="F10" s="620"/>
      <c r="G10" s="621"/>
      <c r="H10" s="232"/>
      <c r="I10" s="11"/>
      <c r="J10" s="357"/>
      <c r="K10" s="358"/>
      <c r="L10" s="359"/>
      <c r="M10" s="360"/>
      <c r="N10" s="151"/>
      <c r="O10" s="1"/>
      <c r="P10" s="1"/>
      <c r="Q10" s="1"/>
      <c r="R10" s="1"/>
      <c r="S10" s="1"/>
      <c r="T10" s="1"/>
      <c r="U10" s="1"/>
      <c r="V10" s="1"/>
      <c r="W10" s="1"/>
      <c r="X10" s="1"/>
      <c r="Y10" s="1"/>
      <c r="Z10" s="1"/>
    </row>
    <row r="11" spans="1:26" ht="15" customHeight="1">
      <c r="A11" s="1"/>
      <c r="B11" s="782"/>
      <c r="C11" s="621"/>
      <c r="D11" s="361"/>
      <c r="E11" s="362"/>
      <c r="F11" s="362"/>
      <c r="G11" s="363"/>
      <c r="H11" s="1"/>
      <c r="I11" s="11"/>
      <c r="J11" s="364"/>
      <c r="K11" s="365"/>
      <c r="L11" s="203"/>
      <c r="M11" s="366"/>
      <c r="N11" s="151"/>
      <c r="O11" s="1"/>
      <c r="P11" s="1"/>
      <c r="Q11" s="1"/>
      <c r="R11" s="1"/>
      <c r="S11" s="1"/>
      <c r="T11" s="1"/>
      <c r="U11" s="1"/>
      <c r="V11" s="1"/>
      <c r="W11" s="1"/>
      <c r="X11" s="1"/>
      <c r="Y11" s="1"/>
      <c r="Z11" s="1"/>
    </row>
    <row r="12" spans="1:26" ht="15" customHeight="1">
      <c r="A12" s="11"/>
      <c r="B12" s="786"/>
      <c r="C12" s="652"/>
      <c r="D12" s="367"/>
      <c r="E12" s="314"/>
      <c r="F12" s="314"/>
      <c r="G12" s="368"/>
      <c r="H12" s="151"/>
      <c r="I12" s="11"/>
      <c r="J12" s="369"/>
      <c r="K12" s="58"/>
      <c r="L12" s="59"/>
      <c r="M12" s="60"/>
      <c r="N12" s="151"/>
      <c r="O12" s="1"/>
      <c r="P12" s="1"/>
      <c r="Q12" s="1"/>
      <c r="R12" s="1"/>
      <c r="S12" s="1"/>
      <c r="T12" s="1"/>
      <c r="U12" s="1"/>
      <c r="V12" s="1"/>
      <c r="W12" s="1"/>
      <c r="X12" s="1"/>
      <c r="Y12" s="1"/>
      <c r="Z12" s="1"/>
    </row>
    <row r="13" spans="1:26" ht="15" customHeight="1">
      <c r="A13" s="11"/>
      <c r="B13" s="780"/>
      <c r="C13" s="370"/>
      <c r="D13" s="371"/>
      <c r="E13" s="290"/>
      <c r="F13" s="290"/>
      <c r="G13" s="306"/>
      <c r="H13" s="151"/>
      <c r="I13" s="1"/>
      <c r="J13" s="13"/>
      <c r="K13" s="13"/>
      <c r="L13" s="13"/>
      <c r="M13" s="13"/>
      <c r="N13" s="1"/>
      <c r="O13" s="1"/>
      <c r="P13" s="1"/>
      <c r="Q13" s="1"/>
      <c r="R13" s="1"/>
      <c r="S13" s="1"/>
      <c r="T13" s="1"/>
      <c r="U13" s="1"/>
      <c r="V13" s="1"/>
      <c r="W13" s="1"/>
      <c r="X13" s="1"/>
      <c r="Y13" s="1"/>
      <c r="Z13" s="1"/>
    </row>
    <row r="14" spans="1:26" ht="15" customHeight="1">
      <c r="A14" s="11"/>
      <c r="B14" s="686"/>
      <c r="C14" s="370"/>
      <c r="D14" s="371"/>
      <c r="E14" s="290"/>
      <c r="F14" s="290"/>
      <c r="G14" s="306"/>
      <c r="H14" s="151"/>
      <c r="I14" s="1"/>
      <c r="J14" s="1"/>
      <c r="K14" s="622"/>
      <c r="L14" s="620"/>
      <c r="M14" s="621"/>
      <c r="N14" s="1"/>
      <c r="O14" s="1"/>
      <c r="P14" s="1"/>
      <c r="Q14" s="1"/>
      <c r="R14" s="1"/>
      <c r="S14" s="1"/>
      <c r="T14" s="1"/>
      <c r="U14" s="1"/>
      <c r="V14" s="1"/>
      <c r="W14" s="1"/>
      <c r="X14" s="1"/>
      <c r="Y14" s="1"/>
      <c r="Z14" s="1"/>
    </row>
    <row r="15" spans="1:26" ht="15" customHeight="1">
      <c r="A15" s="11"/>
      <c r="B15" s="761"/>
      <c r="C15" s="372"/>
      <c r="D15" s="373"/>
      <c r="E15" s="290"/>
      <c r="F15" s="290"/>
      <c r="G15" s="306"/>
      <c r="H15" s="151"/>
      <c r="I15" s="1"/>
      <c r="J15" s="11"/>
      <c r="K15" s="353"/>
      <c r="L15" s="354"/>
      <c r="M15" s="355"/>
      <c r="N15" s="151"/>
      <c r="O15" s="1"/>
      <c r="P15" s="1"/>
      <c r="Q15" s="1"/>
      <c r="R15" s="1"/>
      <c r="S15" s="1"/>
      <c r="T15" s="1"/>
      <c r="U15" s="1"/>
      <c r="V15" s="1"/>
      <c r="W15" s="1"/>
      <c r="X15" s="1"/>
      <c r="Y15" s="1"/>
      <c r="Z15" s="1"/>
    </row>
    <row r="16" spans="1:26" ht="15" customHeight="1">
      <c r="A16" s="11"/>
      <c r="B16" s="779"/>
      <c r="C16" s="621"/>
      <c r="D16" s="374"/>
      <c r="E16" s="375"/>
      <c r="F16" s="375"/>
      <c r="G16" s="376"/>
      <c r="H16" s="151"/>
      <c r="I16" s="1"/>
      <c r="J16" s="11"/>
      <c r="K16" s="285"/>
      <c r="L16" s="286"/>
      <c r="M16" s="287"/>
      <c r="N16" s="151"/>
      <c r="O16" s="1"/>
      <c r="P16" s="1"/>
      <c r="Q16" s="1"/>
      <c r="R16" s="1"/>
      <c r="S16" s="1"/>
      <c r="T16" s="1"/>
      <c r="U16" s="1"/>
      <c r="V16" s="1"/>
      <c r="W16" s="1"/>
      <c r="X16" s="1"/>
      <c r="Y16" s="1"/>
      <c r="Z16" s="1"/>
    </row>
    <row r="17" spans="1:26" ht="15" customHeight="1">
      <c r="A17" s="11"/>
      <c r="B17" s="783"/>
      <c r="C17" s="642"/>
      <c r="D17" s="377"/>
      <c r="E17" s="378"/>
      <c r="F17" s="378"/>
      <c r="G17" s="379"/>
      <c r="H17" s="151"/>
      <c r="I17" s="1"/>
      <c r="J17" s="1"/>
      <c r="K17" s="13"/>
      <c r="L17" s="13"/>
      <c r="M17" s="13"/>
      <c r="N17" s="1"/>
      <c r="O17" s="1"/>
      <c r="P17" s="1"/>
      <c r="Q17" s="1"/>
      <c r="R17" s="1"/>
      <c r="S17" s="1"/>
      <c r="T17" s="1"/>
      <c r="U17" s="1"/>
      <c r="V17" s="1"/>
      <c r="W17" s="1"/>
      <c r="X17" s="1"/>
      <c r="Y17" s="1"/>
      <c r="Z17" s="1"/>
    </row>
    <row r="18" spans="1:26" ht="15" customHeight="1">
      <c r="A18" s="1"/>
      <c r="B18" s="380"/>
      <c r="C18" s="380"/>
      <c r="D18" s="380"/>
      <c r="E18" s="380"/>
      <c r="F18" s="380"/>
      <c r="G18" s="380"/>
      <c r="H18" s="1"/>
      <c r="I18" s="1"/>
      <c r="J18" s="622"/>
      <c r="K18" s="620"/>
      <c r="L18" s="620"/>
      <c r="M18" s="621"/>
      <c r="N18" s="1"/>
      <c r="O18" s="1"/>
      <c r="P18" s="1"/>
      <c r="Q18" s="1"/>
      <c r="R18" s="1"/>
      <c r="S18" s="1"/>
      <c r="T18" s="1"/>
      <c r="U18" s="1"/>
      <c r="V18" s="1"/>
      <c r="W18" s="1"/>
      <c r="X18" s="1"/>
      <c r="Y18" s="1"/>
      <c r="Z18" s="1"/>
    </row>
    <row r="19" spans="1:26" ht="15" customHeight="1">
      <c r="A19" s="11"/>
      <c r="B19" s="788"/>
      <c r="C19" s="637"/>
      <c r="D19" s="381"/>
      <c r="E19" s="382"/>
      <c r="F19" s="382"/>
      <c r="G19" s="383"/>
      <c r="H19" s="151"/>
      <c r="I19" s="1"/>
      <c r="J19" s="284"/>
      <c r="K19" s="52"/>
      <c r="L19" s="52"/>
      <c r="M19" s="53"/>
      <c r="N19" s="151"/>
      <c r="O19" s="1"/>
      <c r="P19" s="1"/>
      <c r="Q19" s="1"/>
      <c r="R19" s="1"/>
      <c r="S19" s="1"/>
      <c r="T19" s="1"/>
      <c r="U19" s="1"/>
      <c r="V19" s="1"/>
      <c r="W19" s="1"/>
      <c r="X19" s="1"/>
      <c r="Y19" s="1"/>
      <c r="Z19" s="1"/>
    </row>
    <row r="20" spans="1:26" ht="15" customHeight="1">
      <c r="A20" s="11"/>
      <c r="B20" s="779"/>
      <c r="C20" s="621"/>
      <c r="D20" s="374"/>
      <c r="E20" s="375"/>
      <c r="F20" s="375"/>
      <c r="G20" s="376"/>
      <c r="H20" s="151"/>
      <c r="I20" s="1"/>
      <c r="J20" s="285"/>
      <c r="K20" s="286"/>
      <c r="L20" s="286"/>
      <c r="M20" s="287"/>
      <c r="N20" s="1"/>
      <c r="O20" s="1"/>
      <c r="P20" s="1"/>
      <c r="Q20" s="1"/>
      <c r="R20" s="1"/>
      <c r="S20" s="1"/>
      <c r="T20" s="1"/>
      <c r="U20" s="1"/>
      <c r="V20" s="1"/>
      <c r="W20" s="1"/>
      <c r="X20" s="1"/>
      <c r="Y20" s="1"/>
      <c r="Z20" s="1"/>
    </row>
    <row r="21" spans="1:26" ht="15" customHeight="1">
      <c r="A21" s="11"/>
      <c r="B21" s="781"/>
      <c r="C21" s="639"/>
      <c r="D21" s="384"/>
      <c r="E21" s="385"/>
      <c r="F21" s="385"/>
      <c r="G21" s="386"/>
      <c r="H21" s="151"/>
      <c r="I21" s="1"/>
      <c r="J21" s="1"/>
      <c r="K21" s="1"/>
      <c r="L21" s="1"/>
      <c r="M21" s="1"/>
      <c r="N21" s="1"/>
      <c r="O21" s="1"/>
      <c r="P21" s="1"/>
      <c r="Q21" s="1"/>
      <c r="R21" s="1"/>
      <c r="S21" s="1"/>
      <c r="T21" s="1"/>
      <c r="U21" s="1"/>
      <c r="V21" s="1"/>
      <c r="W21" s="1"/>
      <c r="X21" s="1"/>
      <c r="Y21" s="1"/>
      <c r="Z21" s="1"/>
    </row>
    <row r="22" spans="1:26" ht="15" customHeight="1">
      <c r="A22" s="11"/>
      <c r="B22" s="784"/>
      <c r="C22" s="621"/>
      <c r="D22" s="387"/>
      <c r="E22" s="388"/>
      <c r="F22" s="388"/>
      <c r="G22" s="389"/>
      <c r="H22" s="151"/>
      <c r="I22" s="1"/>
      <c r="J22" s="1"/>
      <c r="K22" s="52"/>
      <c r="L22" s="52"/>
      <c r="M22" s="52"/>
      <c r="N22" s="52"/>
      <c r="O22" s="1"/>
      <c r="P22" s="1"/>
      <c r="Q22" s="1"/>
      <c r="R22" s="1"/>
      <c r="S22" s="1"/>
      <c r="T22" s="1"/>
      <c r="U22" s="1"/>
      <c r="V22" s="1"/>
      <c r="W22" s="1"/>
      <c r="X22" s="1"/>
      <c r="Y22" s="1"/>
      <c r="Z22" s="1"/>
    </row>
    <row r="23" spans="1:26" ht="15" customHeight="1">
      <c r="A23" s="1"/>
      <c r="B23" s="380"/>
      <c r="C23" s="380"/>
      <c r="D23" s="380"/>
      <c r="E23" s="380"/>
      <c r="F23" s="380"/>
      <c r="G23" s="380"/>
      <c r="H23" s="1"/>
      <c r="I23" s="790"/>
      <c r="J23" s="649"/>
      <c r="K23" s="390"/>
      <c r="L23" s="391"/>
      <c r="M23" s="391"/>
      <c r="N23" s="392"/>
      <c r="O23" s="1"/>
      <c r="P23" s="1"/>
      <c r="Q23" s="1"/>
      <c r="R23" s="1"/>
      <c r="S23" s="1"/>
      <c r="T23" s="1"/>
      <c r="U23" s="1"/>
      <c r="V23" s="1"/>
      <c r="W23" s="1"/>
      <c r="X23" s="1"/>
      <c r="Y23" s="1"/>
      <c r="Z23" s="1"/>
    </row>
    <row r="24" spans="1:26" ht="15" customHeight="1">
      <c r="A24" s="11"/>
      <c r="B24" s="778"/>
      <c r="C24" s="683"/>
      <c r="D24" s="313"/>
      <c r="E24" s="314"/>
      <c r="F24" s="314"/>
      <c r="G24" s="314"/>
      <c r="H24" s="151"/>
      <c r="I24" s="1"/>
      <c r="J24" s="1"/>
      <c r="K24" s="1"/>
      <c r="L24" s="1"/>
      <c r="M24" s="1"/>
      <c r="N24" s="1"/>
      <c r="O24" s="1"/>
      <c r="P24" s="1"/>
      <c r="Q24" s="1"/>
      <c r="R24" s="1"/>
      <c r="S24" s="1"/>
      <c r="T24" s="1"/>
      <c r="U24" s="1"/>
      <c r="V24" s="1"/>
      <c r="W24" s="1"/>
      <c r="X24" s="1"/>
      <c r="Y24" s="1"/>
      <c r="Z24" s="1"/>
    </row>
    <row r="25" spans="1:26" ht="15" customHeight="1">
      <c r="A25" s="11"/>
      <c r="B25" s="393"/>
      <c r="C25" s="200"/>
      <c r="D25" s="200"/>
      <c r="E25" s="394"/>
      <c r="F25" s="394"/>
      <c r="G25" s="394"/>
      <c r="H25" s="151"/>
      <c r="I25" s="1"/>
      <c r="J25" s="1"/>
      <c r="K25" s="1"/>
      <c r="L25" s="1"/>
      <c r="M25" s="1"/>
      <c r="N25" s="1"/>
      <c r="O25" s="1"/>
      <c r="P25" s="1"/>
      <c r="Q25" s="1"/>
      <c r="R25" s="1"/>
      <c r="S25" s="1"/>
      <c r="T25" s="1"/>
      <c r="U25" s="1"/>
      <c r="V25" s="1"/>
      <c r="W25" s="1"/>
      <c r="X25" s="1"/>
      <c r="Y25" s="1"/>
      <c r="Z25" s="1"/>
    </row>
    <row r="26" spans="1:26" ht="15" customHeight="1">
      <c r="A26" s="1"/>
      <c r="B26" s="380"/>
      <c r="C26" s="380"/>
      <c r="D26" s="380"/>
      <c r="E26" s="196"/>
      <c r="F26" s="196"/>
      <c r="G26" s="196"/>
      <c r="H26" s="1"/>
      <c r="I26" s="1"/>
      <c r="J26" s="1"/>
      <c r="K26" s="1"/>
      <c r="L26" s="1"/>
      <c r="M26" s="1"/>
      <c r="N26" s="1"/>
      <c r="O26" s="1"/>
      <c r="P26" s="1"/>
      <c r="Q26" s="1"/>
      <c r="R26" s="1"/>
      <c r="S26" s="1"/>
      <c r="T26" s="1"/>
      <c r="U26" s="1"/>
      <c r="V26" s="1"/>
      <c r="W26" s="1"/>
      <c r="X26" s="1"/>
      <c r="Y26" s="1"/>
      <c r="Z26" s="1"/>
    </row>
    <row r="27" spans="1:26" ht="15" customHeight="1">
      <c r="A27" s="11"/>
      <c r="B27" s="785"/>
      <c r="C27" s="683"/>
      <c r="D27" s="198"/>
      <c r="E27" s="395"/>
      <c r="F27" s="395"/>
      <c r="G27" s="396"/>
      <c r="H27" s="151"/>
      <c r="I27" s="1"/>
      <c r="J27" s="1"/>
      <c r="K27" s="1"/>
      <c r="L27" s="1"/>
      <c r="M27" s="1"/>
      <c r="N27" s="1"/>
      <c r="O27" s="1"/>
      <c r="P27" s="1"/>
      <c r="Q27" s="1"/>
      <c r="R27" s="1"/>
      <c r="S27" s="1"/>
      <c r="T27" s="1"/>
      <c r="U27" s="1"/>
      <c r="V27" s="1"/>
      <c r="W27" s="1"/>
      <c r="X27" s="1"/>
      <c r="Y27" s="1"/>
      <c r="Z27" s="1"/>
    </row>
    <row r="28" spans="1:26" ht="15" customHeight="1">
      <c r="A28" s="11"/>
      <c r="B28" s="789"/>
      <c r="C28" s="645"/>
      <c r="D28" s="195"/>
      <c r="E28" s="397"/>
      <c r="F28" s="397"/>
      <c r="G28" s="398"/>
      <c r="H28" s="151"/>
      <c r="I28" s="1"/>
      <c r="J28" s="1"/>
      <c r="K28" s="1"/>
      <c r="L28" s="1"/>
      <c r="M28" s="1"/>
      <c r="N28" s="1"/>
      <c r="O28" s="1"/>
      <c r="P28" s="1"/>
      <c r="Q28" s="1"/>
      <c r="R28" s="1"/>
      <c r="S28" s="1"/>
      <c r="T28" s="1"/>
      <c r="U28" s="1"/>
      <c r="V28" s="1"/>
      <c r="W28" s="1"/>
      <c r="X28" s="1"/>
      <c r="Y28" s="1"/>
      <c r="Z28" s="1"/>
    </row>
    <row r="29" spans="1:26" ht="14.4" customHeight="1">
      <c r="A29" s="11"/>
      <c r="B29" s="787"/>
      <c r="C29" s="703"/>
      <c r="D29" s="200"/>
      <c r="E29" s="394"/>
      <c r="F29" s="394"/>
      <c r="G29" s="399"/>
      <c r="H29" s="151"/>
      <c r="I29" s="1"/>
      <c r="J29" s="1"/>
      <c r="K29" s="1"/>
      <c r="L29" s="1"/>
      <c r="M29" s="1"/>
      <c r="N29" s="1"/>
      <c r="O29" s="1"/>
      <c r="P29" s="1"/>
      <c r="Q29" s="1"/>
      <c r="R29" s="1"/>
      <c r="S29" s="1"/>
      <c r="T29" s="1"/>
      <c r="U29" s="1"/>
      <c r="V29" s="1"/>
      <c r="W29" s="1"/>
      <c r="X29" s="1"/>
      <c r="Y29" s="1"/>
      <c r="Z29" s="1"/>
    </row>
    <row r="30" spans="1:26" ht="14.4" customHeight="1">
      <c r="A30" s="1"/>
      <c r="B30" s="13"/>
      <c r="C30" s="13"/>
      <c r="D30" s="13"/>
      <c r="E30" s="13"/>
      <c r="F30" s="13"/>
      <c r="G30" s="13"/>
      <c r="H30" s="1"/>
      <c r="I30" s="1"/>
      <c r="J30" s="1"/>
      <c r="K30" s="1"/>
      <c r="L30" s="1"/>
      <c r="M30" s="1"/>
      <c r="N30" s="1"/>
      <c r="O30" s="1"/>
      <c r="P30" s="1"/>
      <c r="Q30" s="1"/>
      <c r="R30" s="1"/>
      <c r="S30" s="1"/>
      <c r="T30" s="1"/>
      <c r="U30" s="1"/>
      <c r="V30" s="1"/>
      <c r="W30" s="1"/>
      <c r="X30" s="1"/>
      <c r="Y30" s="1"/>
      <c r="Z30" s="1"/>
    </row>
    <row r="31" spans="1:26" ht="14.4"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4" customHeight="1">
      <c r="A32" s="1"/>
      <c r="B32" s="1"/>
      <c r="C32" s="1"/>
      <c r="D32" s="1"/>
      <c r="E32" s="1"/>
      <c r="F32" s="193"/>
      <c r="G32" s="193"/>
      <c r="H32" s="1"/>
      <c r="I32" s="1"/>
      <c r="J32" s="1"/>
      <c r="K32" s="1"/>
      <c r="L32" s="1"/>
      <c r="M32" s="1"/>
      <c r="N32" s="1"/>
      <c r="O32" s="1"/>
      <c r="P32" s="1"/>
      <c r="Q32" s="1"/>
      <c r="R32" s="1"/>
      <c r="S32" s="1"/>
      <c r="T32" s="1"/>
      <c r="U32" s="1"/>
      <c r="V32" s="1"/>
      <c r="W32" s="1"/>
      <c r="X32" s="1"/>
      <c r="Y32" s="1"/>
      <c r="Z32" s="1"/>
    </row>
    <row r="33" spans="1:26" ht="14.4" customHeight="1">
      <c r="A33" s="1"/>
      <c r="B33" s="1"/>
      <c r="C33" s="1"/>
      <c r="D33" s="1"/>
      <c r="E33" s="1"/>
      <c r="F33" s="400"/>
      <c r="G33" s="401"/>
      <c r="H33" s="1"/>
      <c r="I33" s="1"/>
      <c r="J33" s="1"/>
      <c r="K33" s="1"/>
      <c r="L33" s="402"/>
      <c r="M33" s="1"/>
      <c r="N33" s="1"/>
      <c r="O33" s="1"/>
      <c r="P33" s="1"/>
      <c r="Q33" s="1"/>
      <c r="R33" s="1"/>
      <c r="S33" s="1"/>
      <c r="T33" s="1"/>
      <c r="U33" s="1"/>
      <c r="V33" s="1"/>
      <c r="W33" s="1"/>
      <c r="X33" s="1"/>
      <c r="Y33" s="1"/>
      <c r="Z33" s="1"/>
    </row>
    <row r="34" spans="1:26" ht="14.4" customHeight="1">
      <c r="A34" s="1"/>
      <c r="B34" s="1"/>
      <c r="C34" s="1"/>
      <c r="D34" s="1"/>
      <c r="E34" s="1"/>
      <c r="F34" s="403"/>
      <c r="G34" s="404"/>
      <c r="H34" s="405"/>
      <c r="I34" s="1"/>
      <c r="J34" s="1"/>
      <c r="K34" s="1"/>
      <c r="L34" s="1"/>
      <c r="M34" s="1"/>
      <c r="N34" s="1"/>
      <c r="O34" s="1"/>
      <c r="P34" s="1"/>
      <c r="Q34" s="1"/>
      <c r="R34" s="1"/>
      <c r="S34" s="1"/>
      <c r="T34" s="1"/>
      <c r="U34" s="1"/>
      <c r="V34" s="1"/>
      <c r="W34" s="1"/>
      <c r="X34" s="1"/>
      <c r="Y34" s="1"/>
      <c r="Z34" s="1"/>
    </row>
    <row r="35" spans="1:26" ht="14.4" customHeight="1">
      <c r="A35" s="1"/>
      <c r="B35" s="1"/>
      <c r="C35" s="1"/>
      <c r="D35" s="1"/>
      <c r="E35" s="1"/>
      <c r="F35" s="406"/>
      <c r="G35" s="407"/>
      <c r="H35" s="402"/>
      <c r="I35" s="1"/>
      <c r="J35" s="1"/>
      <c r="K35" s="1"/>
      <c r="L35" s="1"/>
      <c r="M35" s="1"/>
      <c r="N35" s="1"/>
      <c r="O35" s="1"/>
      <c r="P35" s="1"/>
      <c r="Q35" s="1"/>
      <c r="R35" s="1"/>
      <c r="S35" s="1"/>
      <c r="T35" s="1"/>
      <c r="U35" s="1"/>
      <c r="V35" s="1"/>
      <c r="W35" s="1"/>
      <c r="X35" s="1"/>
      <c r="Y35" s="1"/>
      <c r="Z35" s="1"/>
    </row>
    <row r="36" spans="1:26" ht="14.4" customHeight="1">
      <c r="A36" s="1"/>
      <c r="B36" s="1"/>
      <c r="C36" s="1"/>
      <c r="D36" s="1"/>
      <c r="E36" s="1"/>
      <c r="F36" s="1"/>
      <c r="G36" s="1"/>
      <c r="H36" s="1"/>
      <c r="I36" s="1"/>
      <c r="J36" s="402"/>
      <c r="K36" s="1"/>
      <c r="L36" s="1"/>
      <c r="M36" s="1"/>
      <c r="N36" s="1"/>
      <c r="O36" s="1"/>
      <c r="P36" s="1"/>
      <c r="Q36" s="1"/>
      <c r="R36" s="1"/>
      <c r="S36" s="1"/>
      <c r="T36" s="1"/>
      <c r="U36" s="1"/>
      <c r="V36" s="1"/>
      <c r="W36" s="1"/>
      <c r="X36" s="1"/>
      <c r="Y36" s="1"/>
      <c r="Z36" s="1"/>
    </row>
    <row r="37" spans="1:26" ht="14.4" customHeight="1">
      <c r="A37" s="1"/>
      <c r="B37" s="1"/>
      <c r="C37" s="1"/>
      <c r="D37" s="1"/>
      <c r="E37" s="1"/>
      <c r="F37" s="1"/>
      <c r="G37" s="1"/>
      <c r="H37" s="1"/>
      <c r="I37" s="1"/>
      <c r="J37" s="402"/>
      <c r="K37" s="1"/>
      <c r="L37" s="1"/>
      <c r="M37" s="1"/>
      <c r="N37" s="1"/>
      <c r="O37" s="1"/>
      <c r="P37" s="1"/>
      <c r="Q37" s="1"/>
      <c r="R37" s="1"/>
      <c r="S37" s="1"/>
      <c r="T37" s="1"/>
      <c r="U37" s="1"/>
      <c r="V37" s="1"/>
      <c r="W37" s="1"/>
      <c r="X37" s="1"/>
      <c r="Y37" s="1"/>
      <c r="Z37" s="1"/>
    </row>
    <row r="38" spans="1:26" ht="14.4" customHeight="1">
      <c r="A38" s="1"/>
      <c r="B38" s="1"/>
      <c r="C38" s="1"/>
      <c r="D38" s="1"/>
      <c r="E38" s="1"/>
      <c r="F38" s="1"/>
      <c r="G38" s="1"/>
      <c r="H38" s="1"/>
      <c r="I38" s="408"/>
      <c r="J38" s="1"/>
      <c r="K38" s="1"/>
      <c r="L38" s="1"/>
      <c r="M38" s="1"/>
      <c r="N38" s="1"/>
      <c r="O38" s="1"/>
      <c r="P38" s="1"/>
      <c r="Q38" s="1"/>
      <c r="R38" s="1"/>
      <c r="S38" s="1"/>
      <c r="T38" s="1"/>
      <c r="U38" s="1"/>
      <c r="V38" s="1"/>
      <c r="W38" s="1"/>
      <c r="X38" s="1"/>
      <c r="Y38" s="1"/>
      <c r="Z38" s="1"/>
    </row>
    <row r="39" spans="1:26" ht="14.4" customHeight="1">
      <c r="A39" s="1"/>
      <c r="B39" s="1"/>
      <c r="C39" s="1"/>
      <c r="D39" s="1"/>
      <c r="E39" s="1"/>
      <c r="F39" s="1"/>
      <c r="G39" s="405"/>
      <c r="H39" s="1"/>
      <c r="I39" s="408"/>
      <c r="J39" s="1"/>
      <c r="K39" s="1"/>
      <c r="L39" s="1"/>
      <c r="M39" s="1"/>
      <c r="N39" s="1"/>
      <c r="O39" s="1"/>
      <c r="P39" s="1"/>
      <c r="Q39" s="1"/>
      <c r="R39" s="1"/>
      <c r="S39" s="1"/>
      <c r="T39" s="1"/>
      <c r="U39" s="1"/>
      <c r="V39" s="1"/>
      <c r="W39" s="1"/>
      <c r="X39" s="1"/>
      <c r="Y39" s="1"/>
      <c r="Z39" s="1"/>
    </row>
    <row r="40" spans="1:26" ht="14.4" customHeight="1">
      <c r="A40" s="1"/>
      <c r="B40" s="1"/>
      <c r="C40" s="1"/>
      <c r="D40" s="1"/>
      <c r="E40" s="1"/>
      <c r="F40" s="1"/>
      <c r="G40" s="402"/>
      <c r="H40" s="1"/>
      <c r="I40" s="1"/>
      <c r="J40" s="1"/>
      <c r="K40" s="1"/>
      <c r="L40" s="1"/>
      <c r="M40" s="1"/>
      <c r="N40" s="1"/>
      <c r="O40" s="1"/>
      <c r="P40" s="1"/>
      <c r="Q40" s="1"/>
      <c r="R40" s="1"/>
      <c r="S40" s="1"/>
      <c r="T40" s="1"/>
      <c r="U40" s="1"/>
      <c r="V40" s="1"/>
      <c r="W40" s="1"/>
      <c r="X40" s="1"/>
      <c r="Y40" s="1"/>
      <c r="Z40" s="1"/>
    </row>
    <row r="41" spans="1:26" ht="14.4"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4"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4" customHeight="1">
      <c r="A43" s="1"/>
      <c r="B43" s="1"/>
      <c r="C43" s="1"/>
      <c r="D43" s="148"/>
      <c r="E43" s="148"/>
      <c r="F43" s="148"/>
      <c r="G43" s="148"/>
      <c r="H43" s="1"/>
      <c r="I43" s="120"/>
      <c r="J43" s="1"/>
      <c r="K43" s="1"/>
      <c r="L43" s="1"/>
      <c r="M43" s="1"/>
      <c r="N43" s="1"/>
      <c r="O43" s="1"/>
      <c r="P43" s="1"/>
      <c r="Q43" s="1"/>
      <c r="R43" s="1"/>
      <c r="S43" s="1"/>
      <c r="T43" s="1"/>
      <c r="U43" s="1"/>
      <c r="V43" s="1"/>
      <c r="W43" s="1"/>
      <c r="X43" s="1"/>
      <c r="Y43" s="1"/>
      <c r="Z43" s="1"/>
    </row>
    <row r="44" spans="1:26" ht="14.4" customHeight="1">
      <c r="A44" s="1"/>
      <c r="B44" s="1"/>
      <c r="D44" s="1"/>
      <c r="E44" s="1"/>
      <c r="F44" s="1"/>
      <c r="G44" s="1"/>
      <c r="H44" s="1"/>
      <c r="I44" s="120"/>
      <c r="J44" s="1"/>
      <c r="K44" s="1"/>
      <c r="L44" s="1"/>
      <c r="M44" s="1"/>
      <c r="N44" s="1"/>
      <c r="O44" s="1"/>
      <c r="P44" s="1"/>
      <c r="Q44" s="1"/>
      <c r="R44" s="1"/>
      <c r="S44" s="1"/>
      <c r="T44" s="1"/>
      <c r="U44" s="1"/>
      <c r="V44" s="1"/>
      <c r="W44" s="1"/>
      <c r="X44" s="1"/>
      <c r="Y44" s="1"/>
      <c r="Z44" s="1"/>
    </row>
    <row r="45" spans="1:26" ht="14.4" customHeight="1">
      <c r="A45" s="1"/>
      <c r="B45" s="1"/>
      <c r="C45" s="1"/>
      <c r="D45" s="1"/>
      <c r="E45" s="1"/>
      <c r="F45" s="1"/>
      <c r="G45" s="1"/>
      <c r="H45" s="405"/>
      <c r="I45" s="1"/>
      <c r="J45" s="1"/>
      <c r="K45" s="1"/>
      <c r="L45" s="1"/>
      <c r="M45" s="1"/>
      <c r="N45" s="1"/>
      <c r="O45" s="1"/>
      <c r="P45" s="1"/>
      <c r="Q45" s="1"/>
      <c r="R45" s="1"/>
      <c r="S45" s="1"/>
      <c r="T45" s="1"/>
      <c r="U45" s="1"/>
      <c r="V45" s="1"/>
      <c r="W45" s="1"/>
      <c r="X45" s="1"/>
      <c r="Y45" s="1"/>
      <c r="Z45" s="1"/>
    </row>
    <row r="46" spans="1:26" ht="14.4"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4"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4"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4"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4"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4"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4"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4"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4"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4"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4"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4"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4"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4"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4"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4"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4"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4"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4"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4"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4"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4"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4"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4"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4"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4"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4"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4"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4"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4"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4"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4"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4"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4"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4"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4"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4"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4"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4"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4"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4"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4"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4"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4"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4"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4"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4"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4"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4"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4"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4"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4"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4"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4"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4"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4"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4"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4"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4"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4"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4"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4"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4"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4"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4"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4"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4"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4"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4"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4"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4"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4"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4"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4"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4"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4"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4"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4"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4"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4"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4"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4"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4"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4"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4"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4"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4"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4"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4"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4"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4"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4"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4"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4"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4"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4"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4"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4"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4"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4"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4"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4"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4"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4"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4"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4"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4"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4"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4"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4"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4"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4"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4"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4"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4"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4"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4"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4"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4"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4"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4"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4"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4"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4"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4"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4"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4"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4"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4"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4"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4"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4"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4"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4"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4"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4"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4"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4"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4"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4"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4"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4"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4"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4"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4"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4"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4"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4"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4"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4"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4"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4"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4"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4"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4"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4"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4"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4"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4"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4"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4"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4"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4"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4"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4"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4"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4"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4"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4"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4"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4"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4"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4"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4"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4"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4"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4"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sheetData>
  <mergeCells count="19">
    <mergeCell ref="B27:C27"/>
    <mergeCell ref="J18:M18"/>
    <mergeCell ref="B12:C12"/>
    <mergeCell ref="B29:C29"/>
    <mergeCell ref="B19:C19"/>
    <mergeCell ref="B28:C28"/>
    <mergeCell ref="I23:J23"/>
    <mergeCell ref="K3:M3"/>
    <mergeCell ref="B24:C24"/>
    <mergeCell ref="B20:C20"/>
    <mergeCell ref="B13:B15"/>
    <mergeCell ref="K8:M8"/>
    <mergeCell ref="B21:C21"/>
    <mergeCell ref="B10:G10"/>
    <mergeCell ref="B11:C11"/>
    <mergeCell ref="K14:M14"/>
    <mergeCell ref="B17:C17"/>
    <mergeCell ref="B16:C16"/>
    <mergeCell ref="B22:C22"/>
  </mergeCells>
  <pageMargins left="0.7" right="0.7" top="0.75" bottom="0.75"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000"/>
  <sheetViews>
    <sheetView workbookViewId="0"/>
  </sheetViews>
  <sheetFormatPr defaultColWidth="12.59765625" defaultRowHeight="15" customHeight="1"/>
  <cols>
    <col min="1" max="1" width="7.69921875" customWidth="1"/>
    <col min="2" max="2" width="86.3984375" customWidth="1"/>
    <col min="3" max="3" width="4.59765625" customWidth="1"/>
    <col min="4" max="4" width="5" customWidth="1"/>
    <col min="5" max="5" width="12.59765625" customWidth="1"/>
    <col min="6" max="6" width="12.5" customWidth="1"/>
    <col min="7" max="7" width="11.59765625" customWidth="1"/>
    <col min="8" max="8" width="10.19921875" customWidth="1"/>
    <col min="9" max="9" width="9.09765625" customWidth="1"/>
    <col min="10" max="10" width="10.5" customWidth="1"/>
    <col min="11" max="26" width="7.69921875" customWidth="1"/>
  </cols>
  <sheetData>
    <row r="1" spans="2:3" ht="14.25" customHeight="1"/>
    <row r="2" spans="2:3" ht="33" customHeight="1">
      <c r="B2" s="791"/>
      <c r="C2" s="633"/>
    </row>
    <row r="3" spans="2:3" ht="14.25" customHeight="1">
      <c r="B3" s="409"/>
    </row>
    <row r="4" spans="2:3" ht="14.25" customHeight="1">
      <c r="B4" s="410"/>
    </row>
    <row r="5" spans="2:3" ht="14.25" customHeight="1">
      <c r="B5" s="411"/>
    </row>
    <row r="6" spans="2:3" ht="14.25" customHeight="1">
      <c r="B6" s="411"/>
    </row>
    <row r="7" spans="2:3" ht="14.25" customHeight="1">
      <c r="B7" s="411"/>
    </row>
    <row r="8" spans="2:3" ht="14.25" customHeight="1">
      <c r="B8" s="411"/>
    </row>
    <row r="9" spans="2:3" ht="14.25" customHeight="1">
      <c r="B9" s="411"/>
    </row>
    <row r="10" spans="2:3" ht="14.25" customHeight="1">
      <c r="B10" s="410"/>
    </row>
    <row r="11" spans="2:3" ht="14.25" customHeight="1">
      <c r="B11" s="411"/>
    </row>
    <row r="12" spans="2:3" ht="14.25" customHeight="1">
      <c r="B12" s="411"/>
    </row>
    <row r="13" spans="2:3" ht="14.25" customHeight="1">
      <c r="B13" s="411"/>
    </row>
    <row r="14" spans="2:3" ht="14.25" customHeight="1">
      <c r="B14" s="411"/>
    </row>
    <row r="15" spans="2:3" ht="14.25" customHeight="1">
      <c r="B15" s="411"/>
    </row>
    <row r="16" spans="2:3" ht="14.25" customHeight="1"/>
    <row r="17" spans="2:10" ht="30" customHeight="1">
      <c r="B17" s="792"/>
      <c r="C17" s="633"/>
    </row>
    <row r="18" spans="2:10" ht="14.25" customHeight="1">
      <c r="B18" s="412"/>
    </row>
    <row r="19" spans="2:10" ht="14.25" customHeight="1">
      <c r="B19" s="413"/>
    </row>
    <row r="20" spans="2:10" ht="14.25" customHeight="1">
      <c r="B20" s="414"/>
    </row>
    <row r="21" spans="2:10" ht="14.25" customHeight="1">
      <c r="B21" s="413"/>
    </row>
    <row r="22" spans="2:10" ht="14.25" customHeight="1">
      <c r="B22" s="412"/>
    </row>
    <row r="23" spans="2:10" ht="27.75" customHeight="1">
      <c r="B23" s="791"/>
      <c r="C23" s="633"/>
      <c r="E23" s="415"/>
      <c r="F23" s="416"/>
      <c r="G23" s="417"/>
      <c r="H23" s="418"/>
      <c r="I23" s="419"/>
      <c r="J23" s="416"/>
    </row>
    <row r="24" spans="2:10" ht="19.5" customHeight="1">
      <c r="B24" s="409"/>
      <c r="E24" s="420"/>
      <c r="F24" s="421"/>
      <c r="G24" s="422"/>
      <c r="H24" s="423"/>
      <c r="I24" s="424"/>
      <c r="J24" s="425"/>
    </row>
    <row r="25" spans="2:10" ht="14.25" customHeight="1">
      <c r="B25" s="426"/>
      <c r="C25" s="427"/>
      <c r="E25" s="420"/>
      <c r="F25" s="428"/>
      <c r="G25" s="422"/>
      <c r="H25" s="422"/>
      <c r="I25" s="424"/>
      <c r="J25" s="424"/>
    </row>
    <row r="26" spans="2:10" ht="14.25" customHeight="1">
      <c r="B26" s="426"/>
      <c r="C26" s="429"/>
      <c r="E26" s="420"/>
      <c r="F26" s="428"/>
      <c r="G26" s="428"/>
      <c r="H26" s="422"/>
      <c r="I26" s="422"/>
      <c r="J26" s="424"/>
    </row>
    <row r="27" spans="2:10" ht="20.25" customHeight="1">
      <c r="B27" s="426"/>
      <c r="C27" s="430"/>
      <c r="E27" s="420"/>
      <c r="F27" s="428"/>
      <c r="G27" s="428"/>
      <c r="H27" s="428"/>
      <c r="I27" s="422"/>
      <c r="J27" s="422"/>
    </row>
    <row r="28" spans="2:10" ht="37.5" customHeight="1">
      <c r="B28" s="426"/>
      <c r="C28" s="431"/>
      <c r="E28" s="420"/>
      <c r="F28" s="428"/>
      <c r="G28" s="428"/>
      <c r="H28" s="428"/>
      <c r="I28" s="428"/>
      <c r="J28" s="428"/>
    </row>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23:C23"/>
    <mergeCell ref="B2:C2"/>
    <mergeCell ref="B17:C17"/>
  </mergeCell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B999"/>
  <sheetViews>
    <sheetView zoomScale="85" zoomScaleNormal="85" workbookViewId="0"/>
  </sheetViews>
  <sheetFormatPr defaultColWidth="12.59765625" defaultRowHeight="15" customHeight="1"/>
  <cols>
    <col min="1" max="1" width="9.3984375" customWidth="1"/>
    <col min="2" max="2" width="60" customWidth="1"/>
    <col min="3" max="26" width="9.3984375" customWidth="1"/>
  </cols>
  <sheetData>
    <row r="1" spans="2:2" ht="58.2" customHeight="1">
      <c r="B1" s="454" t="s">
        <v>332</v>
      </c>
    </row>
    <row r="2" spans="2:2" ht="30.75" customHeight="1">
      <c r="B2" s="432"/>
    </row>
    <row r="3" spans="2:2" ht="31.95" customHeight="1">
      <c r="B3" s="455" t="s">
        <v>333</v>
      </c>
    </row>
    <row r="4" spans="2:2" ht="29.25" customHeight="1">
      <c r="B4" s="433"/>
    </row>
    <row r="5" spans="2:2" ht="30" customHeight="1">
      <c r="B5" s="456" t="s">
        <v>334</v>
      </c>
    </row>
    <row r="6" spans="2:2" ht="30" customHeight="1">
      <c r="B6" s="456" t="s">
        <v>335</v>
      </c>
    </row>
    <row r="7" spans="2:2" ht="30" customHeight="1">
      <c r="B7" s="456" t="s">
        <v>336</v>
      </c>
    </row>
    <row r="8" spans="2:2" ht="30" customHeight="1">
      <c r="B8" s="456" t="s">
        <v>337</v>
      </c>
    </row>
    <row r="9" spans="2:2" ht="30" customHeight="1">
      <c r="B9" s="456" t="s">
        <v>338</v>
      </c>
    </row>
    <row r="10" spans="2:2" ht="30" customHeight="1">
      <c r="B10" s="456" t="s">
        <v>339</v>
      </c>
    </row>
    <row r="11" spans="2:2" ht="30" customHeight="1">
      <c r="B11" s="456" t="s">
        <v>340</v>
      </c>
    </row>
    <row r="12" spans="2:2" ht="30" customHeight="1">
      <c r="B12" s="456" t="s">
        <v>341</v>
      </c>
    </row>
    <row r="13" spans="2:2" ht="30" customHeight="1">
      <c r="B13" s="456" t="s">
        <v>342</v>
      </c>
    </row>
    <row r="14" spans="2:2" ht="30" customHeight="1">
      <c r="B14" s="456" t="s">
        <v>343</v>
      </c>
    </row>
    <row r="16" spans="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7"/>
  <sheetViews>
    <sheetView zoomScale="85" zoomScaleNormal="85" workbookViewId="0"/>
  </sheetViews>
  <sheetFormatPr defaultColWidth="12.59765625" defaultRowHeight="15" customHeight="1"/>
  <cols>
    <col min="1" max="1" width="6.3984375" customWidth="1"/>
    <col min="2" max="2" width="7" customWidth="1"/>
    <col min="3" max="3" width="26" customWidth="1"/>
    <col min="4" max="4" width="28" customWidth="1"/>
    <col min="5" max="6" width="26" customWidth="1"/>
    <col min="7" max="7" width="12" customWidth="1"/>
    <col min="8" max="8" width="10" customWidth="1"/>
    <col min="9" max="9" width="12" customWidth="1"/>
    <col min="10" max="11" width="9.3984375" customWidth="1"/>
    <col min="12" max="12" width="21.69921875" customWidth="1"/>
    <col min="13" max="13" width="25.09765625" customWidth="1"/>
    <col min="14" max="26" width="9.3984375" customWidth="1"/>
  </cols>
  <sheetData>
    <row r="1" spans="1:26" ht="14.25" customHeight="1"/>
    <row r="2" spans="1:26" ht="42" customHeight="1">
      <c r="A2" s="434"/>
      <c r="B2" s="457" t="s">
        <v>344</v>
      </c>
      <c r="C2" s="457" t="s">
        <v>173</v>
      </c>
      <c r="D2" s="457" t="s">
        <v>345</v>
      </c>
      <c r="E2" s="457" t="s">
        <v>346</v>
      </c>
      <c r="F2" s="457" t="s">
        <v>347</v>
      </c>
      <c r="G2" s="457" t="s">
        <v>348</v>
      </c>
      <c r="H2" s="457" t="s">
        <v>349</v>
      </c>
      <c r="I2" s="457" t="s">
        <v>350</v>
      </c>
      <c r="J2" s="434"/>
      <c r="K2" s="434"/>
      <c r="L2" s="455" t="s">
        <v>351</v>
      </c>
      <c r="M2" s="434"/>
      <c r="N2" s="434"/>
      <c r="O2" s="434"/>
      <c r="P2" s="434"/>
      <c r="Q2" s="434"/>
      <c r="R2" s="434"/>
      <c r="S2" s="434"/>
      <c r="T2" s="434"/>
      <c r="U2" s="434"/>
      <c r="V2" s="434"/>
      <c r="W2" s="434"/>
      <c r="X2" s="434"/>
      <c r="Y2" s="434"/>
      <c r="Z2" s="434"/>
    </row>
    <row r="3" spans="1:26" ht="56.1" customHeight="1">
      <c r="B3" s="793" t="s">
        <v>352</v>
      </c>
      <c r="C3" s="795" t="s">
        <v>353</v>
      </c>
      <c r="D3" s="494" t="s">
        <v>354</v>
      </c>
      <c r="E3" s="795" t="s">
        <v>355</v>
      </c>
      <c r="F3" s="795" t="s">
        <v>356</v>
      </c>
      <c r="G3" s="793">
        <v>4</v>
      </c>
      <c r="H3" s="793">
        <v>5</v>
      </c>
      <c r="I3" s="796">
        <f>G3*H3</f>
        <v>20</v>
      </c>
      <c r="L3" s="457" t="s">
        <v>357</v>
      </c>
      <c r="M3" s="457" t="s">
        <v>358</v>
      </c>
      <c r="N3" s="457" t="s">
        <v>359</v>
      </c>
      <c r="O3" s="457" t="s">
        <v>360</v>
      </c>
      <c r="P3" s="457" t="s">
        <v>361</v>
      </c>
      <c r="Q3" s="457" t="s">
        <v>362</v>
      </c>
      <c r="R3" s="457" t="s">
        <v>363</v>
      </c>
      <c r="S3" s="457" t="s">
        <v>364</v>
      </c>
    </row>
    <row r="4" spans="1:26" ht="56.1" customHeight="1">
      <c r="B4" s="756"/>
      <c r="C4" s="756"/>
      <c r="D4" s="494" t="s">
        <v>365</v>
      </c>
      <c r="E4" s="756"/>
      <c r="F4" s="756"/>
      <c r="G4" s="756"/>
      <c r="H4" s="756"/>
      <c r="I4" s="756"/>
      <c r="L4" s="456" t="s">
        <v>366</v>
      </c>
      <c r="M4" s="456" t="s">
        <v>367</v>
      </c>
      <c r="N4" s="457" t="s">
        <v>368</v>
      </c>
      <c r="O4" s="458"/>
      <c r="P4" s="459" t="s">
        <v>369</v>
      </c>
      <c r="Q4" s="460"/>
      <c r="R4" s="460" t="s">
        <v>370</v>
      </c>
      <c r="S4" s="461"/>
    </row>
    <row r="5" spans="1:26" ht="56.1" customHeight="1">
      <c r="B5" s="752"/>
      <c r="C5" s="752"/>
      <c r="D5" s="494" t="s">
        <v>371</v>
      </c>
      <c r="E5" s="752"/>
      <c r="F5" s="752"/>
      <c r="G5" s="752"/>
      <c r="H5" s="752"/>
      <c r="I5" s="752"/>
      <c r="L5" s="456" t="s">
        <v>372</v>
      </c>
      <c r="M5" s="456" t="s">
        <v>373</v>
      </c>
      <c r="N5" s="457" t="s">
        <v>374</v>
      </c>
      <c r="O5" s="458"/>
      <c r="P5" s="459" t="s">
        <v>375</v>
      </c>
      <c r="Q5" s="459" t="s">
        <v>376</v>
      </c>
      <c r="R5" s="460" t="s">
        <v>377</v>
      </c>
      <c r="S5" s="460"/>
    </row>
    <row r="6" spans="1:26" ht="56.1" customHeight="1">
      <c r="B6" s="793" t="s">
        <v>378</v>
      </c>
      <c r="C6" s="795" t="s">
        <v>379</v>
      </c>
      <c r="D6" s="494" t="s">
        <v>380</v>
      </c>
      <c r="E6" s="795" t="s">
        <v>381</v>
      </c>
      <c r="F6" s="795" t="s">
        <v>382</v>
      </c>
      <c r="G6" s="793">
        <v>4</v>
      </c>
      <c r="H6" s="793">
        <v>4</v>
      </c>
      <c r="I6" s="796">
        <f>G6*H6</f>
        <v>16</v>
      </c>
      <c r="L6" s="456" t="s">
        <v>383</v>
      </c>
      <c r="M6" s="456" t="s">
        <v>384</v>
      </c>
      <c r="N6" s="457" t="s">
        <v>385</v>
      </c>
      <c r="O6" s="458"/>
      <c r="P6" s="458"/>
      <c r="Q6" s="459" t="s">
        <v>386</v>
      </c>
      <c r="R6" s="459"/>
      <c r="S6" s="460"/>
    </row>
    <row r="7" spans="1:26" ht="56.1" customHeight="1">
      <c r="B7" s="756"/>
      <c r="C7" s="756"/>
      <c r="D7" s="494" t="s">
        <v>387</v>
      </c>
      <c r="E7" s="756"/>
      <c r="F7" s="756"/>
      <c r="G7" s="756"/>
      <c r="H7" s="756"/>
      <c r="I7" s="756"/>
      <c r="L7" s="456" t="s">
        <v>388</v>
      </c>
      <c r="M7" s="456" t="s">
        <v>389</v>
      </c>
      <c r="N7" s="457" t="s">
        <v>390</v>
      </c>
      <c r="O7" s="458"/>
      <c r="P7" s="458"/>
      <c r="Q7" s="458"/>
      <c r="R7" s="459"/>
      <c r="S7" s="459"/>
    </row>
    <row r="8" spans="1:26" ht="56.1" customHeight="1">
      <c r="B8" s="752"/>
      <c r="C8" s="752"/>
      <c r="D8" s="494" t="s">
        <v>391</v>
      </c>
      <c r="E8" s="752"/>
      <c r="F8" s="752"/>
      <c r="G8" s="752"/>
      <c r="H8" s="752"/>
      <c r="I8" s="752"/>
      <c r="L8" s="456" t="s">
        <v>392</v>
      </c>
      <c r="M8" s="456" t="s">
        <v>393</v>
      </c>
      <c r="N8" s="457" t="s">
        <v>394</v>
      </c>
      <c r="O8" s="458"/>
      <c r="P8" s="458"/>
      <c r="Q8" s="458"/>
      <c r="R8" s="458"/>
      <c r="S8" s="458"/>
    </row>
    <row r="9" spans="1:26" ht="56.1" customHeight="1">
      <c r="B9" s="793" t="s">
        <v>395</v>
      </c>
      <c r="C9" s="795" t="s">
        <v>396</v>
      </c>
      <c r="D9" s="494" t="s">
        <v>397</v>
      </c>
      <c r="E9" s="795" t="s">
        <v>398</v>
      </c>
      <c r="F9" s="795" t="s">
        <v>399</v>
      </c>
      <c r="G9" s="793">
        <v>4</v>
      </c>
      <c r="H9" s="793">
        <v>4</v>
      </c>
      <c r="I9" s="796">
        <f>G9*H9</f>
        <v>16</v>
      </c>
      <c r="L9" s="411"/>
      <c r="M9" s="411"/>
      <c r="N9" s="427"/>
      <c r="O9" s="797" t="s">
        <v>400</v>
      </c>
      <c r="P9" s="798"/>
      <c r="Q9" s="798"/>
      <c r="R9" s="798"/>
      <c r="S9" s="799"/>
    </row>
    <row r="10" spans="1:26" ht="56.1" customHeight="1">
      <c r="B10" s="756"/>
      <c r="C10" s="756"/>
      <c r="D10" s="494" t="s">
        <v>401</v>
      </c>
      <c r="E10" s="756"/>
      <c r="F10" s="756"/>
      <c r="G10" s="756"/>
      <c r="H10" s="756"/>
      <c r="I10" s="756"/>
      <c r="N10" s="429"/>
      <c r="O10" s="800" t="s">
        <v>402</v>
      </c>
      <c r="P10" s="798"/>
      <c r="Q10" s="798"/>
      <c r="R10" s="798"/>
      <c r="S10" s="799"/>
    </row>
    <row r="11" spans="1:26" ht="56.1" customHeight="1">
      <c r="B11" s="752"/>
      <c r="C11" s="752"/>
      <c r="D11" s="494" t="s">
        <v>403</v>
      </c>
      <c r="E11" s="752"/>
      <c r="F11" s="752"/>
      <c r="G11" s="752"/>
      <c r="H11" s="752"/>
      <c r="I11" s="752"/>
      <c r="L11" s="411"/>
      <c r="M11" s="411"/>
      <c r="N11" s="430"/>
      <c r="O11" s="802" t="s">
        <v>404</v>
      </c>
      <c r="P11" s="798"/>
      <c r="Q11" s="798"/>
      <c r="R11" s="798"/>
      <c r="S11" s="799"/>
    </row>
    <row r="12" spans="1:26" ht="56.1" customHeight="1">
      <c r="B12" s="793" t="s">
        <v>405</v>
      </c>
      <c r="C12" s="795" t="s">
        <v>406</v>
      </c>
      <c r="D12" s="494" t="s">
        <v>407</v>
      </c>
      <c r="E12" s="795" t="s">
        <v>408</v>
      </c>
      <c r="F12" s="795" t="s">
        <v>409</v>
      </c>
      <c r="G12" s="793">
        <v>4</v>
      </c>
      <c r="H12" s="793">
        <v>5</v>
      </c>
      <c r="I12" s="796">
        <f>G12*H12</f>
        <v>20</v>
      </c>
      <c r="L12" s="411"/>
      <c r="M12" s="411"/>
      <c r="N12" s="431"/>
      <c r="O12" s="801" t="s">
        <v>410</v>
      </c>
      <c r="P12" s="798"/>
      <c r="Q12" s="798"/>
      <c r="R12" s="798"/>
      <c r="S12" s="799"/>
    </row>
    <row r="13" spans="1:26" ht="56.1" customHeight="1">
      <c r="B13" s="756"/>
      <c r="C13" s="756"/>
      <c r="D13" s="494" t="s">
        <v>411</v>
      </c>
      <c r="E13" s="756"/>
      <c r="F13" s="756"/>
      <c r="G13" s="756"/>
      <c r="H13" s="756"/>
      <c r="I13" s="756"/>
      <c r="L13" s="411"/>
      <c r="M13" s="411"/>
      <c r="N13" s="420"/>
      <c r="O13" s="428"/>
      <c r="P13" s="428"/>
      <c r="Q13" s="428"/>
      <c r="R13" s="428"/>
      <c r="S13" s="428"/>
    </row>
    <row r="14" spans="1:26" ht="56.1" customHeight="1">
      <c r="B14" s="752"/>
      <c r="C14" s="752"/>
      <c r="D14" s="494" t="s">
        <v>412</v>
      </c>
      <c r="E14" s="752"/>
      <c r="F14" s="752"/>
      <c r="G14" s="752"/>
      <c r="H14" s="752"/>
      <c r="I14" s="752"/>
    </row>
    <row r="15" spans="1:26" ht="56.1" customHeight="1">
      <c r="B15" s="793" t="s">
        <v>413</v>
      </c>
      <c r="C15" s="795" t="s">
        <v>414</v>
      </c>
      <c r="D15" s="494" t="s">
        <v>415</v>
      </c>
      <c r="E15" s="795" t="s">
        <v>416</v>
      </c>
      <c r="F15" s="795" t="s">
        <v>417</v>
      </c>
      <c r="G15" s="793">
        <v>3</v>
      </c>
      <c r="H15" s="793">
        <v>4</v>
      </c>
      <c r="I15" s="794">
        <f>G15*H15</f>
        <v>12</v>
      </c>
    </row>
    <row r="16" spans="1:26" ht="56.1" customHeight="1">
      <c r="B16" s="756"/>
      <c r="C16" s="756"/>
      <c r="D16" s="494" t="s">
        <v>418</v>
      </c>
      <c r="E16" s="756"/>
      <c r="F16" s="756"/>
      <c r="G16" s="756"/>
      <c r="H16" s="756"/>
      <c r="I16" s="756"/>
    </row>
    <row r="17" spans="2:9" ht="56.1" customHeight="1">
      <c r="B17" s="752"/>
      <c r="C17" s="752"/>
      <c r="D17" s="494" t="s">
        <v>419</v>
      </c>
      <c r="E17" s="752"/>
      <c r="F17" s="752"/>
      <c r="G17" s="752"/>
      <c r="H17" s="752"/>
      <c r="I17" s="752"/>
    </row>
    <row r="18" spans="2:9" ht="56.1" customHeight="1">
      <c r="B18" s="793" t="s">
        <v>420</v>
      </c>
      <c r="C18" s="795" t="s">
        <v>421</v>
      </c>
      <c r="D18" s="494" t="s">
        <v>422</v>
      </c>
      <c r="E18" s="795" t="s">
        <v>423</v>
      </c>
      <c r="F18" s="795" t="s">
        <v>424</v>
      </c>
      <c r="G18" s="793">
        <v>3</v>
      </c>
      <c r="H18" s="793">
        <v>4</v>
      </c>
      <c r="I18" s="794">
        <f>G18*H18</f>
        <v>12</v>
      </c>
    </row>
    <row r="19" spans="2:9" ht="56.1" customHeight="1">
      <c r="B19" s="756"/>
      <c r="C19" s="756"/>
      <c r="D19" s="494" t="s">
        <v>425</v>
      </c>
      <c r="E19" s="756"/>
      <c r="F19" s="756"/>
      <c r="G19" s="756"/>
      <c r="H19" s="756"/>
      <c r="I19" s="756"/>
    </row>
    <row r="20" spans="2:9" ht="56.1" customHeight="1">
      <c r="B20" s="752"/>
      <c r="C20" s="752"/>
      <c r="D20" s="494" t="s">
        <v>426</v>
      </c>
      <c r="E20" s="752"/>
      <c r="F20" s="752"/>
      <c r="G20" s="752"/>
      <c r="H20" s="752"/>
      <c r="I20" s="752"/>
    </row>
    <row r="21" spans="2:9" ht="56.1" customHeight="1">
      <c r="B21" s="793" t="s">
        <v>369</v>
      </c>
      <c r="C21" s="795" t="s">
        <v>427</v>
      </c>
      <c r="D21" s="494" t="s">
        <v>428</v>
      </c>
      <c r="E21" s="795" t="s">
        <v>429</v>
      </c>
      <c r="F21" s="795" t="s">
        <v>430</v>
      </c>
      <c r="G21" s="793">
        <v>2</v>
      </c>
      <c r="H21" s="793">
        <v>5</v>
      </c>
      <c r="I21" s="794">
        <f>G21*H21</f>
        <v>10</v>
      </c>
    </row>
    <row r="22" spans="2:9" ht="56.1" customHeight="1">
      <c r="B22" s="756"/>
      <c r="C22" s="756"/>
      <c r="D22" s="494" t="s">
        <v>431</v>
      </c>
      <c r="E22" s="756"/>
      <c r="F22" s="756"/>
      <c r="G22" s="756"/>
      <c r="H22" s="756"/>
      <c r="I22" s="756"/>
    </row>
    <row r="23" spans="2:9" ht="56.1" customHeight="1">
      <c r="B23" s="752"/>
      <c r="C23" s="752"/>
      <c r="D23" s="494" t="s">
        <v>432</v>
      </c>
      <c r="E23" s="752"/>
      <c r="F23" s="752"/>
      <c r="G23" s="752"/>
      <c r="H23" s="752"/>
      <c r="I23" s="752"/>
    </row>
    <row r="24" spans="2:9" ht="56.1" customHeight="1">
      <c r="B24" s="793" t="s">
        <v>386</v>
      </c>
      <c r="C24" s="795" t="s">
        <v>433</v>
      </c>
      <c r="D24" s="494" t="s">
        <v>434</v>
      </c>
      <c r="E24" s="795" t="s">
        <v>435</v>
      </c>
      <c r="F24" s="795" t="s">
        <v>436</v>
      </c>
      <c r="G24" s="793">
        <v>3</v>
      </c>
      <c r="H24" s="793">
        <v>3</v>
      </c>
      <c r="I24" s="794">
        <f>G24*H24</f>
        <v>9</v>
      </c>
    </row>
    <row r="25" spans="2:9" ht="56.1" customHeight="1">
      <c r="B25" s="756"/>
      <c r="C25" s="756"/>
      <c r="D25" s="494" t="s">
        <v>437</v>
      </c>
      <c r="E25" s="756"/>
      <c r="F25" s="756"/>
      <c r="G25" s="756"/>
      <c r="H25" s="756"/>
      <c r="I25" s="756"/>
    </row>
    <row r="26" spans="2:9" ht="56.1" customHeight="1">
      <c r="B26" s="752"/>
      <c r="C26" s="752"/>
      <c r="D26" s="494" t="s">
        <v>438</v>
      </c>
      <c r="E26" s="752"/>
      <c r="F26" s="752"/>
      <c r="G26" s="752"/>
      <c r="H26" s="752"/>
      <c r="I26" s="752"/>
    </row>
    <row r="27" spans="2:9" ht="56.1" customHeight="1">
      <c r="B27" s="793" t="s">
        <v>439</v>
      </c>
      <c r="C27" s="795" t="s">
        <v>440</v>
      </c>
      <c r="D27" s="494" t="s">
        <v>441</v>
      </c>
      <c r="E27" s="795" t="s">
        <v>442</v>
      </c>
      <c r="F27" s="795" t="s">
        <v>443</v>
      </c>
      <c r="G27" s="793">
        <v>3</v>
      </c>
      <c r="H27" s="793">
        <v>4</v>
      </c>
      <c r="I27" s="794">
        <f>G27*H27</f>
        <v>12</v>
      </c>
    </row>
    <row r="28" spans="2:9" ht="56.1" customHeight="1">
      <c r="B28" s="756"/>
      <c r="C28" s="756"/>
      <c r="D28" s="494" t="s">
        <v>444</v>
      </c>
      <c r="E28" s="756"/>
      <c r="F28" s="756"/>
      <c r="G28" s="756"/>
      <c r="H28" s="756"/>
      <c r="I28" s="756"/>
    </row>
    <row r="29" spans="2:9" ht="56.1" customHeight="1">
      <c r="B29" s="752"/>
      <c r="C29" s="752"/>
      <c r="D29" s="494" t="s">
        <v>445</v>
      </c>
      <c r="E29" s="752"/>
      <c r="F29" s="752"/>
      <c r="G29" s="752"/>
      <c r="H29" s="752"/>
      <c r="I29" s="752"/>
    </row>
    <row r="30" spans="2:9" ht="56.1" customHeight="1">
      <c r="B30" s="793" t="s">
        <v>375</v>
      </c>
      <c r="C30" s="795" t="s">
        <v>446</v>
      </c>
      <c r="D30" s="494" t="s">
        <v>447</v>
      </c>
      <c r="E30" s="795" t="s">
        <v>448</v>
      </c>
      <c r="F30" s="795" t="s">
        <v>449</v>
      </c>
      <c r="G30" s="793">
        <v>2</v>
      </c>
      <c r="H30" s="793">
        <v>4</v>
      </c>
      <c r="I30" s="794">
        <f>G30*H30</f>
        <v>8</v>
      </c>
    </row>
    <row r="31" spans="2:9" ht="56.1" customHeight="1">
      <c r="B31" s="756"/>
      <c r="C31" s="756"/>
      <c r="D31" s="494" t="s">
        <v>450</v>
      </c>
      <c r="E31" s="756"/>
      <c r="F31" s="756"/>
      <c r="G31" s="756"/>
      <c r="H31" s="756"/>
      <c r="I31" s="756"/>
    </row>
    <row r="32" spans="2:9" ht="56.1" customHeight="1">
      <c r="B32" s="752"/>
      <c r="C32" s="752"/>
      <c r="D32" s="494" t="s">
        <v>451</v>
      </c>
      <c r="E32" s="752"/>
      <c r="F32" s="752"/>
      <c r="G32" s="752"/>
      <c r="H32" s="752"/>
      <c r="I32" s="752"/>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mergeCells count="74">
    <mergeCell ref="B30:B32"/>
    <mergeCell ref="B15:B17"/>
    <mergeCell ref="B24:B26"/>
    <mergeCell ref="F27:F29"/>
    <mergeCell ref="C30:C32"/>
    <mergeCell ref="C27:C29"/>
    <mergeCell ref="E30:E32"/>
    <mergeCell ref="C21:C23"/>
    <mergeCell ref="E27:E29"/>
    <mergeCell ref="E21:E23"/>
    <mergeCell ref="I6:I8"/>
    <mergeCell ref="H12:H14"/>
    <mergeCell ref="H18:H20"/>
    <mergeCell ref="I15:I17"/>
    <mergeCell ref="C12:C14"/>
    <mergeCell ref="I18:I20"/>
    <mergeCell ref="H30:H32"/>
    <mergeCell ref="H15:H17"/>
    <mergeCell ref="F30:F32"/>
    <mergeCell ref="O9:S9"/>
    <mergeCell ref="H27:H29"/>
    <mergeCell ref="O10:S10"/>
    <mergeCell ref="I30:I32"/>
    <mergeCell ref="G30:G32"/>
    <mergeCell ref="H24:H26"/>
    <mergeCell ref="O12:S12"/>
    <mergeCell ref="H21:H23"/>
    <mergeCell ref="O11:S11"/>
    <mergeCell ref="I12:I14"/>
    <mergeCell ref="I21:I23"/>
    <mergeCell ref="I9:I11"/>
    <mergeCell ref="E3:E5"/>
    <mergeCell ref="F3:F5"/>
    <mergeCell ref="F24:F26"/>
    <mergeCell ref="G6:G8"/>
    <mergeCell ref="E15:E17"/>
    <mergeCell ref="G15:G17"/>
    <mergeCell ref="G24:G26"/>
    <mergeCell ref="F12:F14"/>
    <mergeCell ref="F18:F20"/>
    <mergeCell ref="F21:F23"/>
    <mergeCell ref="G18:G20"/>
    <mergeCell ref="H3:H5"/>
    <mergeCell ref="G9:G11"/>
    <mergeCell ref="F9:F11"/>
    <mergeCell ref="E24:E26"/>
    <mergeCell ref="B21:B23"/>
    <mergeCell ref="F15:F17"/>
    <mergeCell ref="C3:C5"/>
    <mergeCell ref="E12:E14"/>
    <mergeCell ref="C9:C11"/>
    <mergeCell ref="B9:B11"/>
    <mergeCell ref="E18:E20"/>
    <mergeCell ref="G12:G14"/>
    <mergeCell ref="G21:G23"/>
    <mergeCell ref="C15:C17"/>
    <mergeCell ref="B12:B14"/>
    <mergeCell ref="H9:H11"/>
    <mergeCell ref="B6:B8"/>
    <mergeCell ref="I24:I26"/>
    <mergeCell ref="E9:E11"/>
    <mergeCell ref="I3:I5"/>
    <mergeCell ref="B27:B29"/>
    <mergeCell ref="B18:B20"/>
    <mergeCell ref="E6:E8"/>
    <mergeCell ref="H6:H8"/>
    <mergeCell ref="G3:G5"/>
    <mergeCell ref="B3:B5"/>
    <mergeCell ref="C24:C26"/>
    <mergeCell ref="C6:C8"/>
    <mergeCell ref="G27:G29"/>
    <mergeCell ref="C18:C20"/>
    <mergeCell ref="I27:I29"/>
    <mergeCell ref="F6:F8"/>
  </mergeCells>
  <pageMargins left="0.7" right="0.7" top="0.75" bottom="0.75" header="0" footer="0"/>
  <pageSetup paperSize="9"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K1000"/>
  <sheetViews>
    <sheetView zoomScale="85" zoomScaleNormal="85" workbookViewId="0"/>
  </sheetViews>
  <sheetFormatPr defaultColWidth="12.59765625" defaultRowHeight="15" customHeight="1"/>
  <cols>
    <col min="1" max="1" width="9.3984375" customWidth="1"/>
    <col min="2" max="2" width="3.09765625" customWidth="1"/>
    <col min="3" max="3" width="16.3984375" customWidth="1"/>
    <col min="4" max="4" width="15.09765625" customWidth="1"/>
    <col min="5" max="5" width="16" customWidth="1"/>
    <col min="6" max="6" width="15.3984375" customWidth="1"/>
    <col min="7" max="7" width="16.69921875" customWidth="1"/>
    <col min="8" max="8" width="16.8984375" customWidth="1"/>
    <col min="9" max="9" width="5.3984375" customWidth="1"/>
    <col min="10" max="10" width="3.8984375" customWidth="1"/>
    <col min="11" max="11" width="49.5" customWidth="1"/>
    <col min="12" max="26" width="9.3984375" customWidth="1"/>
  </cols>
  <sheetData>
    <row r="1" spans="3:11" ht="48" customHeight="1">
      <c r="C1" s="454" t="s">
        <v>452</v>
      </c>
    </row>
    <row r="2" spans="3:11" ht="14.25" customHeight="1"/>
    <row r="3" spans="3:11" ht="33.9" customHeight="1">
      <c r="C3" s="511" t="s">
        <v>359</v>
      </c>
      <c r="D3" s="511" t="s">
        <v>360</v>
      </c>
      <c r="E3" s="511" t="s">
        <v>361</v>
      </c>
      <c r="F3" s="511" t="s">
        <v>362</v>
      </c>
      <c r="G3" s="511" t="s">
        <v>363</v>
      </c>
      <c r="H3" s="511" t="s">
        <v>364</v>
      </c>
    </row>
    <row r="4" spans="3:11" ht="33.9" customHeight="1">
      <c r="C4" s="511" t="s">
        <v>368</v>
      </c>
      <c r="D4" s="512"/>
      <c r="E4" s="513" t="s">
        <v>369</v>
      </c>
      <c r="F4" s="514"/>
      <c r="G4" s="514" t="s">
        <v>370</v>
      </c>
      <c r="H4" s="515"/>
      <c r="J4" s="427"/>
      <c r="K4" s="462" t="s">
        <v>400</v>
      </c>
    </row>
    <row r="5" spans="3:11" ht="33.9" customHeight="1">
      <c r="C5" s="511" t="s">
        <v>374</v>
      </c>
      <c r="D5" s="512"/>
      <c r="E5" s="513" t="s">
        <v>375</v>
      </c>
      <c r="F5" s="513" t="s">
        <v>376</v>
      </c>
      <c r="G5" s="514" t="s">
        <v>377</v>
      </c>
      <c r="H5" s="514"/>
      <c r="J5" s="429"/>
      <c r="K5" s="463" t="s">
        <v>402</v>
      </c>
    </row>
    <row r="6" spans="3:11" ht="33.9" customHeight="1">
      <c r="C6" s="511" t="s">
        <v>385</v>
      </c>
      <c r="D6" s="512"/>
      <c r="E6" s="512"/>
      <c r="F6" s="513" t="s">
        <v>386</v>
      </c>
      <c r="G6" s="513"/>
      <c r="H6" s="514"/>
      <c r="J6" s="430"/>
      <c r="K6" s="464" t="s">
        <v>404</v>
      </c>
    </row>
    <row r="7" spans="3:11" ht="33.9" customHeight="1">
      <c r="C7" s="511" t="s">
        <v>390</v>
      </c>
      <c r="D7" s="512"/>
      <c r="E7" s="512"/>
      <c r="F7" s="512"/>
      <c r="G7" s="513"/>
      <c r="H7" s="513"/>
      <c r="J7" s="431"/>
      <c r="K7" s="465" t="s">
        <v>410</v>
      </c>
    </row>
    <row r="8" spans="3:11" ht="33.9" customHeight="1">
      <c r="C8" s="511" t="s">
        <v>394</v>
      </c>
      <c r="D8" s="512"/>
      <c r="E8" s="512"/>
      <c r="F8" s="512"/>
      <c r="G8" s="512"/>
      <c r="H8" s="512"/>
    </row>
    <row r="9" spans="3:11" ht="14.25" customHeight="1">
      <c r="C9" s="412"/>
    </row>
    <row r="10" spans="3:11" ht="14.25" customHeight="1"/>
    <row r="11" spans="3:11" ht="14.25" customHeight="1"/>
    <row r="12" spans="3:11" ht="14.25" customHeight="1"/>
    <row r="13" spans="3:11" ht="14.25" customHeight="1"/>
    <row r="14" spans="3:11" ht="14.25" customHeight="1"/>
    <row r="15" spans="3:11" ht="14.25" customHeight="1"/>
    <row r="16" spans="3: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6.09765625" customWidth="1"/>
    <col min="10" max="10" width="13.8984375" customWidth="1"/>
    <col min="11" max="11" width="14.09765625" customWidth="1"/>
    <col min="12" max="12" width="16"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619"/>
      <c r="C2" s="620"/>
      <c r="D2" s="620"/>
      <c r="E2" s="620"/>
      <c r="F2" s="620"/>
      <c r="G2" s="621"/>
      <c r="H2" s="1"/>
      <c r="I2" s="1"/>
      <c r="J2" s="1"/>
      <c r="K2" s="1"/>
      <c r="L2" s="1"/>
      <c r="M2" s="1"/>
      <c r="N2" s="1"/>
      <c r="O2" s="1"/>
      <c r="P2" s="1"/>
      <c r="Q2" s="1"/>
      <c r="R2" s="1"/>
      <c r="S2" s="1"/>
      <c r="T2" s="1"/>
      <c r="U2" s="1"/>
      <c r="V2" s="1"/>
      <c r="W2" s="1"/>
      <c r="X2" s="1"/>
      <c r="Y2" s="1"/>
      <c r="Z2" s="1"/>
    </row>
    <row r="3" spans="1:26" ht="14.25" customHeight="1">
      <c r="A3" s="1"/>
      <c r="B3" s="782"/>
      <c r="C3" s="621"/>
      <c r="D3" s="361"/>
      <c r="E3" s="362"/>
      <c r="F3" s="362"/>
      <c r="G3" s="363"/>
      <c r="H3" s="1"/>
      <c r="I3" s="810"/>
      <c r="J3" s="644"/>
      <c r="K3" s="644"/>
      <c r="L3" s="645"/>
      <c r="M3" s="1"/>
      <c r="N3" s="1"/>
      <c r="O3" s="1"/>
      <c r="P3" s="1"/>
      <c r="Q3" s="1"/>
      <c r="R3" s="1"/>
      <c r="S3" s="1"/>
      <c r="T3" s="1"/>
      <c r="U3" s="1"/>
      <c r="V3" s="1"/>
      <c r="W3" s="1"/>
      <c r="X3" s="1"/>
      <c r="Y3" s="1"/>
      <c r="Z3" s="1"/>
    </row>
    <row r="4" spans="1:26" ht="43.5" customHeight="1">
      <c r="A4" s="1"/>
      <c r="B4" s="805"/>
      <c r="C4" s="673"/>
      <c r="D4" s="435"/>
      <c r="E4" s="203"/>
      <c r="F4" s="203"/>
      <c r="G4" s="436"/>
      <c r="H4" s="1"/>
      <c r="I4" s="812"/>
      <c r="J4" s="806"/>
      <c r="K4" s="806"/>
      <c r="L4" s="806"/>
      <c r="M4" s="1"/>
      <c r="N4" s="1"/>
      <c r="O4" s="1"/>
      <c r="P4" s="1"/>
      <c r="Q4" s="1"/>
      <c r="R4" s="1"/>
      <c r="S4" s="1"/>
      <c r="T4" s="1"/>
      <c r="U4" s="1"/>
      <c r="V4" s="1"/>
      <c r="W4" s="1"/>
      <c r="X4" s="1"/>
      <c r="Y4" s="1"/>
      <c r="Z4" s="1"/>
    </row>
    <row r="5" spans="1:26" ht="14.25" customHeight="1">
      <c r="A5" s="1"/>
      <c r="B5" s="780"/>
      <c r="C5" s="370"/>
      <c r="D5" s="371"/>
      <c r="E5" s="203"/>
      <c r="F5" s="203"/>
      <c r="G5" s="203"/>
      <c r="H5" s="1"/>
      <c r="I5" s="807"/>
      <c r="J5" s="807"/>
      <c r="K5" s="807"/>
      <c r="L5" s="807"/>
      <c r="M5" s="1"/>
      <c r="N5" s="1"/>
      <c r="O5" s="1"/>
      <c r="P5" s="1"/>
      <c r="Q5" s="1"/>
      <c r="R5" s="1"/>
      <c r="S5" s="1"/>
      <c r="T5" s="1"/>
      <c r="U5" s="1"/>
      <c r="V5" s="1"/>
      <c r="W5" s="1"/>
      <c r="X5" s="1"/>
      <c r="Y5" s="1"/>
      <c r="Z5" s="1"/>
    </row>
    <row r="6" spans="1:26" ht="14.25" customHeight="1">
      <c r="A6" s="1"/>
      <c r="B6" s="686"/>
      <c r="C6" s="370"/>
      <c r="D6" s="371"/>
      <c r="E6" s="203"/>
      <c r="F6" s="436"/>
      <c r="G6" s="203"/>
      <c r="H6" s="1"/>
      <c r="I6" s="808"/>
      <c r="J6" s="808"/>
      <c r="K6" s="808"/>
      <c r="L6" s="808"/>
      <c r="M6" s="1"/>
      <c r="N6" s="1"/>
      <c r="O6" s="1"/>
      <c r="P6" s="1"/>
      <c r="Q6" s="1"/>
      <c r="R6" s="1"/>
      <c r="S6" s="1"/>
      <c r="T6" s="1"/>
      <c r="U6" s="1"/>
      <c r="V6" s="1"/>
      <c r="W6" s="1"/>
      <c r="X6" s="1"/>
      <c r="Y6" s="1"/>
      <c r="Z6" s="1"/>
    </row>
    <row r="7" spans="1:26" ht="14.25" customHeight="1">
      <c r="A7" s="1"/>
      <c r="B7" s="761"/>
      <c r="C7" s="372"/>
      <c r="D7" s="373"/>
      <c r="E7" s="203"/>
      <c r="F7" s="203"/>
      <c r="G7" s="203"/>
      <c r="H7" s="1"/>
      <c r="I7" s="437"/>
      <c r="K7" s="275"/>
      <c r="L7" s="275"/>
      <c r="M7" s="1"/>
      <c r="N7" s="1"/>
      <c r="O7" s="1"/>
      <c r="P7" s="1"/>
      <c r="Q7" s="1"/>
      <c r="R7" s="1"/>
      <c r="S7" s="1"/>
      <c r="T7" s="1"/>
      <c r="U7" s="1"/>
      <c r="V7" s="1"/>
      <c r="W7" s="1"/>
      <c r="X7" s="1"/>
      <c r="Y7" s="1"/>
      <c r="Z7" s="1"/>
    </row>
    <row r="8" spans="1:26" ht="14.25" customHeight="1">
      <c r="A8" s="1"/>
      <c r="B8" s="804"/>
      <c r="C8" s="621"/>
      <c r="D8" s="438"/>
      <c r="E8" s="439"/>
      <c r="F8" s="439"/>
      <c r="G8" s="439"/>
      <c r="H8" s="1"/>
      <c r="I8" s="1"/>
      <c r="J8" s="1"/>
      <c r="K8" s="1"/>
      <c r="L8" s="1"/>
      <c r="M8" s="1"/>
      <c r="N8" s="1"/>
      <c r="O8" s="1"/>
      <c r="P8" s="1"/>
      <c r="Q8" s="1"/>
      <c r="R8" s="1"/>
      <c r="S8" s="1"/>
      <c r="T8" s="1"/>
      <c r="U8" s="1"/>
      <c r="V8" s="1"/>
      <c r="W8" s="1"/>
      <c r="X8" s="1"/>
      <c r="Y8" s="1"/>
      <c r="Z8" s="1"/>
    </row>
    <row r="9" spans="1:26" ht="14.25" customHeight="1">
      <c r="A9" s="1"/>
      <c r="B9" s="440"/>
      <c r="C9" s="441"/>
      <c r="D9" s="435"/>
      <c r="E9" s="442"/>
      <c r="F9" s="442"/>
      <c r="G9" s="443"/>
      <c r="H9" s="1"/>
      <c r="I9" s="1"/>
      <c r="J9" s="1"/>
      <c r="K9" s="1"/>
      <c r="L9" s="1"/>
      <c r="M9" s="1"/>
      <c r="N9" s="1"/>
      <c r="O9" s="1"/>
      <c r="P9" s="1"/>
      <c r="Q9" s="1"/>
      <c r="R9" s="1"/>
      <c r="S9" s="1"/>
      <c r="T9" s="1"/>
      <c r="U9" s="1"/>
      <c r="V9" s="1"/>
      <c r="W9" s="1"/>
      <c r="X9" s="1"/>
      <c r="Y9" s="1"/>
      <c r="Z9" s="1"/>
    </row>
    <row r="10" spans="1:26" ht="14.25" customHeight="1">
      <c r="A10" s="1"/>
      <c r="B10" s="811"/>
      <c r="C10" s="649"/>
      <c r="D10" s="371"/>
      <c r="E10" s="290"/>
      <c r="F10" s="290"/>
      <c r="G10" s="290"/>
      <c r="H10" s="1"/>
      <c r="I10" s="1"/>
      <c r="J10" s="1"/>
      <c r="K10" s="1"/>
      <c r="L10" s="1"/>
      <c r="M10" s="1"/>
      <c r="N10" s="1"/>
      <c r="O10" s="1"/>
      <c r="P10" s="1"/>
      <c r="Q10" s="1"/>
      <c r="R10" s="1"/>
      <c r="S10" s="1"/>
      <c r="T10" s="1"/>
      <c r="U10" s="1"/>
      <c r="V10" s="1"/>
      <c r="W10" s="1"/>
      <c r="X10" s="1"/>
      <c r="Y10" s="1"/>
      <c r="Z10" s="1"/>
    </row>
    <row r="11" spans="1:26" ht="14.25" customHeight="1">
      <c r="A11" s="1"/>
      <c r="B11" s="809"/>
      <c r="C11" s="669"/>
      <c r="D11" s="373"/>
      <c r="E11" s="444"/>
      <c r="F11" s="444"/>
      <c r="G11" s="307"/>
      <c r="H11" s="1"/>
      <c r="I11" s="1"/>
      <c r="J11" s="1"/>
      <c r="K11" s="1"/>
      <c r="L11" s="1"/>
      <c r="M11" s="1"/>
      <c r="N11" s="1"/>
      <c r="O11" s="1"/>
      <c r="P11" s="1"/>
      <c r="Q11" s="1"/>
      <c r="R11" s="1"/>
      <c r="S11" s="1"/>
      <c r="T11" s="1"/>
      <c r="U11" s="1"/>
      <c r="V11" s="1"/>
      <c r="W11" s="1"/>
      <c r="X11" s="1"/>
      <c r="Y11" s="1"/>
      <c r="Z11" s="1"/>
    </row>
    <row r="12" spans="1:26" ht="14.25" customHeight="1">
      <c r="A12" s="1"/>
      <c r="B12" s="804"/>
      <c r="C12" s="621"/>
      <c r="D12" s="438"/>
      <c r="E12" s="439"/>
      <c r="F12" s="439"/>
      <c r="G12" s="439"/>
      <c r="H12" s="1"/>
      <c r="I12" s="1"/>
      <c r="J12" s="1"/>
      <c r="K12" s="1"/>
      <c r="L12" s="1"/>
      <c r="M12" s="1"/>
      <c r="N12" s="1"/>
      <c r="O12" s="1"/>
      <c r="P12" s="1"/>
      <c r="Q12" s="1"/>
      <c r="R12" s="1"/>
      <c r="S12" s="1"/>
      <c r="T12" s="1"/>
      <c r="U12" s="1"/>
      <c r="V12" s="1"/>
      <c r="W12" s="1"/>
      <c r="X12" s="1"/>
      <c r="Y12" s="1"/>
      <c r="Z12" s="1"/>
    </row>
    <row r="13" spans="1:26" ht="14.25" customHeight="1">
      <c r="A13" s="1"/>
      <c r="B13" s="781"/>
      <c r="C13" s="639"/>
      <c r="D13" s="384"/>
      <c r="E13" s="385"/>
      <c r="F13" s="445"/>
      <c r="G13" s="386"/>
      <c r="H13" s="1"/>
      <c r="I13" s="1"/>
      <c r="J13" s="1"/>
      <c r="K13" s="1"/>
      <c r="L13" s="1"/>
      <c r="M13" s="1"/>
      <c r="N13" s="1"/>
      <c r="O13" s="1"/>
      <c r="P13" s="1"/>
      <c r="Q13" s="1"/>
      <c r="R13" s="1"/>
      <c r="S13" s="1"/>
      <c r="T13" s="1"/>
      <c r="U13" s="1"/>
      <c r="V13" s="1"/>
      <c r="W13" s="1"/>
      <c r="X13" s="1"/>
      <c r="Y13" s="1"/>
      <c r="Z13" s="1"/>
    </row>
    <row r="14" spans="1:26" ht="14.25" customHeight="1">
      <c r="A14" s="1"/>
      <c r="B14" s="803"/>
      <c r="C14" s="621"/>
      <c r="D14" s="446"/>
      <c r="E14" s="447"/>
      <c r="F14" s="447"/>
      <c r="G14" s="447"/>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400"/>
      <c r="F18" s="448"/>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403"/>
      <c r="F19" s="404"/>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406"/>
      <c r="F20" s="449"/>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2:G2"/>
    <mergeCell ref="J4:J6"/>
    <mergeCell ref="K4:K6"/>
    <mergeCell ref="L4:L6"/>
    <mergeCell ref="B11:C11"/>
    <mergeCell ref="B3:C3"/>
    <mergeCell ref="I3:L3"/>
    <mergeCell ref="B10:C10"/>
    <mergeCell ref="I4:I6"/>
    <mergeCell ref="B14:C14"/>
    <mergeCell ref="B8:C8"/>
    <mergeCell ref="B4:C4"/>
    <mergeCell ref="B5:B7"/>
    <mergeCell ref="B12:C12"/>
    <mergeCell ref="B13:C13"/>
  </mergeCells>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6.09765625" customWidth="1"/>
    <col min="10" max="10" width="9.5" customWidth="1"/>
    <col min="11" max="11" width="13" customWidth="1"/>
    <col min="12" max="12" width="14.898437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619"/>
      <c r="C2" s="620"/>
      <c r="D2" s="620"/>
      <c r="E2" s="620"/>
      <c r="F2" s="620"/>
      <c r="G2" s="621"/>
      <c r="H2" s="1"/>
      <c r="I2" s="1"/>
      <c r="J2" s="1"/>
      <c r="K2" s="1"/>
      <c r="L2" s="1"/>
      <c r="M2" s="1"/>
      <c r="N2" s="1"/>
      <c r="O2" s="1"/>
      <c r="P2" s="1"/>
      <c r="Q2" s="1"/>
      <c r="R2" s="1"/>
      <c r="S2" s="1"/>
      <c r="T2" s="1"/>
      <c r="U2" s="1"/>
      <c r="V2" s="1"/>
      <c r="W2" s="1"/>
      <c r="X2" s="1"/>
      <c r="Y2" s="1"/>
      <c r="Z2" s="1"/>
    </row>
    <row r="3" spans="1:26" ht="14.25" customHeight="1">
      <c r="A3" s="1"/>
      <c r="B3" s="782"/>
      <c r="C3" s="621"/>
      <c r="D3" s="361"/>
      <c r="E3" s="362"/>
      <c r="F3" s="362"/>
      <c r="G3" s="363"/>
      <c r="H3" s="1"/>
      <c r="I3" s="810"/>
      <c r="J3" s="644"/>
      <c r="K3" s="644"/>
      <c r="L3" s="645"/>
      <c r="M3" s="1"/>
      <c r="N3" s="1"/>
      <c r="O3" s="1"/>
      <c r="P3" s="1"/>
      <c r="Q3" s="1"/>
      <c r="R3" s="1"/>
      <c r="S3" s="1"/>
      <c r="T3" s="1"/>
      <c r="U3" s="1"/>
      <c r="V3" s="1"/>
      <c r="W3" s="1"/>
      <c r="X3" s="1"/>
      <c r="Y3" s="1"/>
      <c r="Z3" s="1"/>
    </row>
    <row r="4" spans="1:26" ht="54.75" customHeight="1">
      <c r="A4" s="1"/>
      <c r="B4" s="805"/>
      <c r="C4" s="673"/>
      <c r="D4" s="435"/>
      <c r="E4" s="450"/>
      <c r="F4" s="203"/>
      <c r="G4" s="450"/>
      <c r="H4" s="1"/>
      <c r="I4" s="812"/>
      <c r="J4" s="806"/>
      <c r="K4" s="806"/>
      <c r="L4" s="806"/>
      <c r="M4" s="1"/>
      <c r="N4" s="1"/>
      <c r="O4" s="1"/>
      <c r="P4" s="1"/>
      <c r="Q4" s="1"/>
      <c r="R4" s="1"/>
      <c r="S4" s="1"/>
      <c r="T4" s="1"/>
      <c r="U4" s="1"/>
      <c r="V4" s="1"/>
      <c r="W4" s="1"/>
      <c r="X4" s="1"/>
      <c r="Y4" s="1"/>
      <c r="Z4" s="1"/>
    </row>
    <row r="5" spans="1:26" ht="14.25" customHeight="1">
      <c r="A5" s="1"/>
      <c r="B5" s="780"/>
      <c r="C5" s="370"/>
      <c r="D5" s="371"/>
      <c r="E5" s="203"/>
      <c r="F5" s="203"/>
      <c r="G5" s="203"/>
      <c r="H5" s="1"/>
      <c r="I5" s="807"/>
      <c r="J5" s="807"/>
      <c r="K5" s="807"/>
      <c r="L5" s="807"/>
      <c r="M5" s="1"/>
      <c r="N5" s="1"/>
      <c r="O5" s="1"/>
      <c r="P5" s="1"/>
      <c r="Q5" s="1"/>
      <c r="R5" s="1"/>
      <c r="S5" s="1"/>
      <c r="T5" s="1"/>
      <c r="U5" s="1"/>
      <c r="V5" s="1"/>
      <c r="W5" s="1"/>
      <c r="X5" s="1"/>
      <c r="Y5" s="1"/>
      <c r="Z5" s="1"/>
    </row>
    <row r="6" spans="1:26" ht="14.25" customHeight="1">
      <c r="A6" s="1"/>
      <c r="B6" s="686"/>
      <c r="C6" s="370"/>
      <c r="D6" s="371"/>
      <c r="E6" s="436"/>
      <c r="F6" s="450"/>
      <c r="G6" s="203"/>
      <c r="H6" s="1"/>
      <c r="I6" s="808"/>
      <c r="J6" s="808"/>
      <c r="K6" s="808"/>
      <c r="L6" s="808"/>
      <c r="M6" s="1"/>
      <c r="N6" s="1"/>
      <c r="O6" s="1"/>
      <c r="P6" s="1"/>
      <c r="Q6" s="1"/>
      <c r="R6" s="1"/>
      <c r="S6" s="1"/>
      <c r="T6" s="1"/>
      <c r="U6" s="1"/>
      <c r="V6" s="1"/>
      <c r="W6" s="1"/>
      <c r="X6" s="1"/>
      <c r="Y6" s="1"/>
      <c r="Z6" s="1"/>
    </row>
    <row r="7" spans="1:26" ht="14.25" customHeight="1">
      <c r="A7" s="1"/>
      <c r="B7" s="761"/>
      <c r="C7" s="372"/>
      <c r="D7" s="373"/>
      <c r="E7" s="203"/>
      <c r="F7" s="203"/>
      <c r="G7" s="203"/>
      <c r="H7" s="1"/>
      <c r="I7" s="1"/>
      <c r="J7" s="1"/>
      <c r="K7" s="275"/>
      <c r="L7" s="275"/>
      <c r="M7" s="1"/>
      <c r="N7" s="1"/>
      <c r="O7" s="1"/>
      <c r="P7" s="1"/>
      <c r="Q7" s="1"/>
      <c r="R7" s="1"/>
      <c r="S7" s="1"/>
      <c r="T7" s="1"/>
      <c r="U7" s="1"/>
      <c r="V7" s="1"/>
      <c r="W7" s="1"/>
      <c r="X7" s="1"/>
      <c r="Y7" s="1"/>
      <c r="Z7" s="1"/>
    </row>
    <row r="8" spans="1:26" ht="14.25" customHeight="1">
      <c r="A8" s="1"/>
      <c r="B8" s="804"/>
      <c r="C8" s="621"/>
      <c r="D8" s="438"/>
      <c r="E8" s="439"/>
      <c r="F8" s="439"/>
      <c r="G8" s="439"/>
      <c r="H8" s="1"/>
      <c r="I8" s="1"/>
      <c r="J8" s="1"/>
      <c r="K8" s="1"/>
      <c r="L8" s="1"/>
      <c r="M8" s="1"/>
      <c r="N8" s="1"/>
      <c r="O8" s="1"/>
      <c r="P8" s="1"/>
      <c r="Q8" s="1"/>
      <c r="R8" s="1"/>
      <c r="S8" s="1"/>
      <c r="T8" s="1"/>
      <c r="U8" s="1"/>
      <c r="V8" s="1"/>
      <c r="W8" s="1"/>
      <c r="X8" s="1"/>
      <c r="Y8" s="1"/>
      <c r="Z8" s="1"/>
    </row>
    <row r="9" spans="1:26" ht="14.25" customHeight="1">
      <c r="A9" s="1"/>
      <c r="B9" s="440"/>
      <c r="C9" s="441"/>
      <c r="D9" s="435"/>
      <c r="E9" s="442"/>
      <c r="F9" s="442"/>
      <c r="G9" s="443"/>
      <c r="H9" s="1"/>
      <c r="I9" s="1"/>
      <c r="J9" s="1"/>
      <c r="K9" s="1"/>
      <c r="L9" s="1"/>
      <c r="M9" s="1"/>
      <c r="N9" s="1"/>
      <c r="O9" s="1"/>
      <c r="P9" s="1"/>
      <c r="Q9" s="1"/>
      <c r="R9" s="1"/>
      <c r="S9" s="1"/>
      <c r="T9" s="1"/>
      <c r="U9" s="1"/>
      <c r="V9" s="1"/>
      <c r="W9" s="1"/>
      <c r="X9" s="1"/>
      <c r="Y9" s="1"/>
      <c r="Z9" s="1"/>
    </row>
    <row r="10" spans="1:26" ht="14.25" customHeight="1">
      <c r="A10" s="1"/>
      <c r="B10" s="811"/>
      <c r="C10" s="649"/>
      <c r="D10" s="371"/>
      <c r="E10" s="290"/>
      <c r="F10" s="290"/>
      <c r="G10" s="290"/>
      <c r="H10" s="1"/>
      <c r="I10" s="1"/>
      <c r="J10" s="1"/>
      <c r="K10" s="1"/>
      <c r="L10" s="1"/>
      <c r="M10" s="1"/>
      <c r="N10" s="1"/>
      <c r="O10" s="1"/>
      <c r="P10" s="1"/>
      <c r="Q10" s="1"/>
      <c r="R10" s="1"/>
      <c r="S10" s="1"/>
      <c r="T10" s="1"/>
      <c r="U10" s="1"/>
      <c r="V10" s="1"/>
      <c r="W10" s="1"/>
      <c r="X10" s="1"/>
      <c r="Y10" s="1"/>
      <c r="Z10" s="1"/>
    </row>
    <row r="11" spans="1:26" ht="14.25" customHeight="1">
      <c r="A11" s="1"/>
      <c r="B11" s="809"/>
      <c r="C11" s="669"/>
      <c r="D11" s="373"/>
      <c r="E11" s="444"/>
      <c r="F11" s="444"/>
      <c r="G11" s="307"/>
      <c r="H11" s="1"/>
      <c r="I11" s="1"/>
      <c r="J11" s="1"/>
      <c r="K11" s="1"/>
      <c r="L11" s="1"/>
      <c r="M11" s="1"/>
      <c r="N11" s="1"/>
      <c r="O11" s="1"/>
      <c r="P11" s="1"/>
      <c r="Q11" s="1"/>
      <c r="R11" s="1"/>
      <c r="S11" s="1"/>
      <c r="T11" s="1"/>
      <c r="U11" s="1"/>
      <c r="V11" s="1"/>
      <c r="W11" s="1"/>
      <c r="X11" s="1"/>
      <c r="Y11" s="1"/>
      <c r="Z11" s="1"/>
    </row>
    <row r="12" spans="1:26" ht="14.25" customHeight="1">
      <c r="A12" s="1"/>
      <c r="B12" s="804"/>
      <c r="C12" s="621"/>
      <c r="D12" s="438"/>
      <c r="E12" s="439"/>
      <c r="F12" s="439"/>
      <c r="G12" s="439"/>
      <c r="H12" s="1"/>
      <c r="I12" s="1"/>
      <c r="J12" s="1"/>
      <c r="K12" s="1"/>
      <c r="L12" s="1"/>
      <c r="M12" s="1"/>
      <c r="N12" s="1"/>
      <c r="O12" s="1"/>
      <c r="P12" s="1"/>
      <c r="Q12" s="1"/>
      <c r="R12" s="1"/>
      <c r="S12" s="1"/>
      <c r="T12" s="1"/>
      <c r="U12" s="1"/>
      <c r="V12" s="1"/>
      <c r="W12" s="1"/>
      <c r="X12" s="1"/>
      <c r="Y12" s="1"/>
      <c r="Z12" s="1"/>
    </row>
    <row r="13" spans="1:26" ht="14.25" customHeight="1">
      <c r="A13" s="1"/>
      <c r="B13" s="781"/>
      <c r="C13" s="639"/>
      <c r="D13" s="384"/>
      <c r="E13" s="385"/>
      <c r="F13" s="445"/>
      <c r="G13" s="386"/>
      <c r="H13" s="1"/>
      <c r="I13" s="1"/>
      <c r="J13" s="1"/>
      <c r="K13" s="1"/>
      <c r="L13" s="1"/>
      <c r="M13" s="1"/>
      <c r="N13" s="1"/>
      <c r="O13" s="1"/>
      <c r="P13" s="1"/>
      <c r="Q13" s="1"/>
      <c r="R13" s="1"/>
      <c r="S13" s="1"/>
      <c r="T13" s="1"/>
      <c r="U13" s="1"/>
      <c r="V13" s="1"/>
      <c r="W13" s="1"/>
      <c r="X13" s="1"/>
      <c r="Y13" s="1"/>
      <c r="Z13" s="1"/>
    </row>
    <row r="14" spans="1:26" ht="14.25" customHeight="1">
      <c r="A14" s="1"/>
      <c r="B14" s="803"/>
      <c r="C14" s="621"/>
      <c r="D14" s="446"/>
      <c r="E14" s="447"/>
      <c r="F14" s="447"/>
      <c r="G14" s="447"/>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400"/>
      <c r="F18" s="448"/>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403"/>
      <c r="F19" s="404"/>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406"/>
      <c r="F20" s="449"/>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2:G2"/>
    <mergeCell ref="J4:J6"/>
    <mergeCell ref="K4:K6"/>
    <mergeCell ref="L4:L6"/>
    <mergeCell ref="B11:C11"/>
    <mergeCell ref="B3:C3"/>
    <mergeCell ref="I3:L3"/>
    <mergeCell ref="B10:C10"/>
    <mergeCell ref="I4:I6"/>
    <mergeCell ref="B14:C14"/>
    <mergeCell ref="B8:C8"/>
    <mergeCell ref="B4:C4"/>
    <mergeCell ref="B5:B7"/>
    <mergeCell ref="B12:C12"/>
    <mergeCell ref="B13:C13"/>
  </mergeCells>
  <pageMargins left="0.7" right="0.7" top="0.75" bottom="0.75" header="0" footer="0"/>
  <pageSetup paperSize="9"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defaultColWidth="12.59765625" defaultRowHeight="15" customHeight="1"/>
  <cols>
    <col min="1" max="1" width="9.3984375" customWidth="1"/>
    <col min="2" max="2" width="33" customWidth="1"/>
    <col min="3" max="3" width="13.09765625" customWidth="1"/>
    <col min="4" max="4" width="13.59765625" customWidth="1"/>
    <col min="5" max="7" width="13.8984375" customWidth="1"/>
    <col min="8" max="8" width="4.09765625" customWidth="1"/>
    <col min="9" max="9" width="31.59765625" customWidth="1"/>
    <col min="10" max="10" width="14.69921875" customWidth="1"/>
    <col min="11" max="11" width="16.19921875" customWidth="1"/>
    <col min="12" max="12" width="15.5976562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619"/>
      <c r="C2" s="620"/>
      <c r="D2" s="620"/>
      <c r="E2" s="620"/>
      <c r="F2" s="620"/>
      <c r="G2" s="621"/>
      <c r="H2" s="1"/>
      <c r="I2" s="1"/>
      <c r="J2" s="1"/>
      <c r="K2" s="1"/>
      <c r="L2" s="1"/>
      <c r="M2" s="1"/>
      <c r="N2" s="1"/>
      <c r="O2" s="1"/>
      <c r="P2" s="1"/>
      <c r="Q2" s="1"/>
      <c r="R2" s="1"/>
      <c r="S2" s="1"/>
      <c r="T2" s="1"/>
      <c r="U2" s="1"/>
      <c r="V2" s="1"/>
      <c r="W2" s="1"/>
      <c r="X2" s="1"/>
      <c r="Y2" s="1"/>
      <c r="Z2" s="1"/>
    </row>
    <row r="3" spans="1:26" ht="14.25" customHeight="1">
      <c r="A3" s="1"/>
      <c r="B3" s="782"/>
      <c r="C3" s="621"/>
      <c r="D3" s="361"/>
      <c r="E3" s="362"/>
      <c r="F3" s="362"/>
      <c r="G3" s="363"/>
      <c r="H3" s="1"/>
      <c r="I3" s="810"/>
      <c r="J3" s="644"/>
      <c r="K3" s="644"/>
      <c r="L3" s="645"/>
      <c r="M3" s="1"/>
      <c r="N3" s="1"/>
      <c r="O3" s="1"/>
      <c r="P3" s="1"/>
      <c r="Q3" s="1"/>
      <c r="R3" s="1"/>
      <c r="S3" s="1"/>
      <c r="T3" s="1"/>
      <c r="U3" s="1"/>
      <c r="V3" s="1"/>
      <c r="W3" s="1"/>
      <c r="X3" s="1"/>
      <c r="Y3" s="1"/>
      <c r="Z3" s="1"/>
    </row>
    <row r="4" spans="1:26" ht="54" customHeight="1">
      <c r="A4" s="1"/>
      <c r="B4" s="805"/>
      <c r="C4" s="673"/>
      <c r="D4" s="435"/>
      <c r="E4" s="436"/>
      <c r="F4" s="203"/>
      <c r="G4" s="450"/>
      <c r="H4" s="1"/>
      <c r="I4" s="812"/>
      <c r="J4" s="806"/>
      <c r="K4" s="806"/>
      <c r="L4" s="806"/>
      <c r="M4" s="1"/>
      <c r="N4" s="1"/>
      <c r="O4" s="1"/>
      <c r="P4" s="1"/>
      <c r="Q4" s="1"/>
      <c r="R4" s="1"/>
      <c r="S4" s="1"/>
      <c r="T4" s="1"/>
      <c r="U4" s="1"/>
      <c r="V4" s="1"/>
      <c r="W4" s="1"/>
      <c r="X4" s="1"/>
      <c r="Y4" s="1"/>
      <c r="Z4" s="1"/>
    </row>
    <row r="5" spans="1:26" ht="14.25" customHeight="1">
      <c r="A5" s="1"/>
      <c r="B5" s="780"/>
      <c r="C5" s="370"/>
      <c r="D5" s="371"/>
      <c r="E5" s="203"/>
      <c r="F5" s="203"/>
      <c r="G5" s="203"/>
      <c r="H5" s="1"/>
      <c r="I5" s="807"/>
      <c r="J5" s="807"/>
      <c r="K5" s="807"/>
      <c r="L5" s="807"/>
      <c r="M5" s="1"/>
      <c r="N5" s="1"/>
      <c r="O5" s="1"/>
      <c r="P5" s="1"/>
      <c r="Q5" s="1"/>
      <c r="R5" s="1"/>
      <c r="S5" s="1"/>
      <c r="T5" s="1"/>
      <c r="U5" s="1"/>
      <c r="V5" s="1"/>
      <c r="W5" s="1"/>
      <c r="X5" s="1"/>
      <c r="Y5" s="1"/>
      <c r="Z5" s="1"/>
    </row>
    <row r="6" spans="1:26" ht="14.25" customHeight="1">
      <c r="A6" s="1"/>
      <c r="B6" s="686"/>
      <c r="C6" s="370"/>
      <c r="D6" s="371"/>
      <c r="E6" s="436"/>
      <c r="F6" s="450"/>
      <c r="G6" s="203"/>
      <c r="H6" s="1"/>
      <c r="I6" s="808"/>
      <c r="J6" s="808"/>
      <c r="K6" s="808"/>
      <c r="L6" s="808"/>
      <c r="M6" s="1"/>
      <c r="N6" s="1"/>
      <c r="O6" s="1"/>
      <c r="P6" s="1"/>
      <c r="Q6" s="1"/>
      <c r="R6" s="1"/>
      <c r="S6" s="1"/>
      <c r="T6" s="1"/>
      <c r="U6" s="1"/>
      <c r="V6" s="1"/>
      <c r="W6" s="1"/>
      <c r="X6" s="1"/>
      <c r="Y6" s="1"/>
      <c r="Z6" s="1"/>
    </row>
    <row r="7" spans="1:26" ht="14.25" customHeight="1">
      <c r="A7" s="1"/>
      <c r="B7" s="761"/>
      <c r="C7" s="372"/>
      <c r="D7" s="373"/>
      <c r="E7" s="203"/>
      <c r="F7" s="203"/>
      <c r="G7" s="203"/>
      <c r="H7" s="1"/>
      <c r="I7" s="1"/>
      <c r="J7" s="1"/>
      <c r="K7" s="275"/>
      <c r="L7" s="275"/>
      <c r="M7" s="1"/>
      <c r="N7" s="1"/>
      <c r="O7" s="1"/>
      <c r="P7" s="1"/>
      <c r="Q7" s="1"/>
      <c r="R7" s="1"/>
      <c r="S7" s="1"/>
      <c r="T7" s="1"/>
      <c r="U7" s="1"/>
      <c r="V7" s="1"/>
      <c r="W7" s="1"/>
      <c r="X7" s="1"/>
      <c r="Y7" s="1"/>
      <c r="Z7" s="1"/>
    </row>
    <row r="8" spans="1:26" ht="14.25" customHeight="1">
      <c r="A8" s="1"/>
      <c r="B8" s="804"/>
      <c r="C8" s="621"/>
      <c r="D8" s="438"/>
      <c r="E8" s="439"/>
      <c r="F8" s="439"/>
      <c r="G8" s="439"/>
      <c r="H8" s="1"/>
      <c r="I8" s="1"/>
      <c r="J8" s="1"/>
      <c r="K8" s="1"/>
      <c r="L8" s="1"/>
      <c r="M8" s="1"/>
      <c r="N8" s="1"/>
      <c r="O8" s="1"/>
      <c r="P8" s="1"/>
      <c r="Q8" s="1"/>
      <c r="R8" s="1"/>
      <c r="S8" s="1"/>
      <c r="T8" s="1"/>
      <c r="U8" s="1"/>
      <c r="V8" s="1"/>
      <c r="W8" s="1"/>
      <c r="X8" s="1"/>
      <c r="Y8" s="1"/>
      <c r="Z8" s="1"/>
    </row>
    <row r="9" spans="1:26" ht="14.25" customHeight="1">
      <c r="A9" s="1"/>
      <c r="B9" s="440"/>
      <c r="C9" s="441"/>
      <c r="D9" s="435"/>
      <c r="E9" s="442"/>
      <c r="F9" s="442"/>
      <c r="G9" s="443"/>
      <c r="H9" s="1"/>
      <c r="I9" s="1"/>
      <c r="J9" s="1"/>
      <c r="K9" s="1"/>
      <c r="L9" s="1"/>
      <c r="M9" s="1"/>
      <c r="N9" s="1"/>
      <c r="O9" s="1"/>
      <c r="P9" s="1"/>
      <c r="Q9" s="1"/>
      <c r="R9" s="1"/>
      <c r="S9" s="1"/>
      <c r="T9" s="1"/>
      <c r="U9" s="1"/>
      <c r="V9" s="1"/>
      <c r="W9" s="1"/>
      <c r="X9" s="1"/>
      <c r="Y9" s="1"/>
      <c r="Z9" s="1"/>
    </row>
    <row r="10" spans="1:26" ht="14.25" customHeight="1">
      <c r="A10" s="1"/>
      <c r="B10" s="811"/>
      <c r="C10" s="649"/>
      <c r="D10" s="371"/>
      <c r="E10" s="290"/>
      <c r="F10" s="290"/>
      <c r="G10" s="290"/>
      <c r="H10" s="1"/>
      <c r="I10" s="1"/>
      <c r="J10" s="1"/>
      <c r="K10" s="1"/>
      <c r="L10" s="1"/>
      <c r="M10" s="1"/>
      <c r="N10" s="1"/>
      <c r="O10" s="1"/>
      <c r="P10" s="1"/>
      <c r="Q10" s="1"/>
      <c r="R10" s="1"/>
      <c r="S10" s="1"/>
      <c r="T10" s="1"/>
      <c r="U10" s="1"/>
      <c r="V10" s="1"/>
      <c r="W10" s="1"/>
      <c r="X10" s="1"/>
      <c r="Y10" s="1"/>
      <c r="Z10" s="1"/>
    </row>
    <row r="11" spans="1:26" ht="14.25" customHeight="1">
      <c r="A11" s="1"/>
      <c r="B11" s="809"/>
      <c r="C11" s="669"/>
      <c r="D11" s="373"/>
      <c r="E11" s="444"/>
      <c r="F11" s="444"/>
      <c r="G11" s="307"/>
      <c r="H11" s="1"/>
      <c r="I11" s="1"/>
      <c r="J11" s="1"/>
      <c r="K11" s="1"/>
      <c r="L11" s="1"/>
      <c r="M11" s="1"/>
      <c r="N11" s="1"/>
      <c r="O11" s="1"/>
      <c r="P11" s="1"/>
      <c r="Q11" s="1"/>
      <c r="R11" s="1"/>
      <c r="S11" s="1"/>
      <c r="T11" s="1"/>
      <c r="U11" s="1"/>
      <c r="V11" s="1"/>
      <c r="W11" s="1"/>
      <c r="X11" s="1"/>
      <c r="Y11" s="1"/>
      <c r="Z11" s="1"/>
    </row>
    <row r="12" spans="1:26" ht="14.25" customHeight="1">
      <c r="A12" s="1"/>
      <c r="B12" s="804"/>
      <c r="C12" s="621"/>
      <c r="D12" s="438"/>
      <c r="E12" s="439"/>
      <c r="F12" s="439"/>
      <c r="G12" s="439"/>
      <c r="H12" s="1"/>
      <c r="I12" s="1"/>
      <c r="J12" s="1"/>
      <c r="K12" s="1"/>
      <c r="L12" s="1"/>
      <c r="M12" s="1"/>
      <c r="N12" s="1"/>
      <c r="O12" s="1"/>
      <c r="P12" s="1"/>
      <c r="Q12" s="1"/>
      <c r="R12" s="1"/>
      <c r="S12" s="1"/>
      <c r="T12" s="1"/>
      <c r="U12" s="1"/>
      <c r="V12" s="1"/>
      <c r="W12" s="1"/>
      <c r="X12" s="1"/>
      <c r="Y12" s="1"/>
      <c r="Z12" s="1"/>
    </row>
    <row r="13" spans="1:26" ht="14.25" customHeight="1">
      <c r="A13" s="1"/>
      <c r="B13" s="781"/>
      <c r="C13" s="639"/>
      <c r="D13" s="384"/>
      <c r="E13" s="385"/>
      <c r="F13" s="445"/>
      <c r="G13" s="386"/>
      <c r="H13" s="1"/>
      <c r="I13" s="1"/>
      <c r="J13" s="1"/>
      <c r="K13" s="1"/>
      <c r="L13" s="1"/>
      <c r="M13" s="1"/>
      <c r="N13" s="1"/>
      <c r="O13" s="1"/>
      <c r="P13" s="1"/>
      <c r="Q13" s="1"/>
      <c r="R13" s="1"/>
      <c r="S13" s="1"/>
      <c r="T13" s="1"/>
      <c r="U13" s="1"/>
      <c r="V13" s="1"/>
      <c r="W13" s="1"/>
      <c r="X13" s="1"/>
      <c r="Y13" s="1"/>
      <c r="Z13" s="1"/>
    </row>
    <row r="14" spans="1:26" ht="14.25" customHeight="1">
      <c r="A14" s="1"/>
      <c r="B14" s="803"/>
      <c r="C14" s="621"/>
      <c r="D14" s="446"/>
      <c r="E14" s="447"/>
      <c r="F14" s="447"/>
      <c r="G14" s="447"/>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400"/>
      <c r="F18" s="448"/>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403"/>
      <c r="F19" s="404"/>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406"/>
      <c r="F20" s="449"/>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2:G2"/>
    <mergeCell ref="J4:J6"/>
    <mergeCell ref="K4:K6"/>
    <mergeCell ref="L4:L6"/>
    <mergeCell ref="B11:C11"/>
    <mergeCell ref="B3:C3"/>
    <mergeCell ref="I3:L3"/>
    <mergeCell ref="B10:C10"/>
    <mergeCell ref="I4:I6"/>
    <mergeCell ref="B14:C14"/>
    <mergeCell ref="B8:C8"/>
    <mergeCell ref="B4:C4"/>
    <mergeCell ref="B5:B7"/>
    <mergeCell ref="B12:C12"/>
    <mergeCell ref="B13:C13"/>
  </mergeCells>
  <pageMargins left="0.7" right="0.7" top="0.75" bottom="0.75" header="0" footer="0"/>
  <pageSetup paperSize="9"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977"/>
  <sheetViews>
    <sheetView workbookViewId="0"/>
  </sheetViews>
  <sheetFormatPr defaultColWidth="12.59765625" defaultRowHeight="15" customHeight="1"/>
  <cols>
    <col min="1" max="1" width="9.3984375" customWidth="1"/>
    <col min="2" max="2" width="22.5" customWidth="1"/>
    <col min="3" max="3" width="24.8984375" customWidth="1"/>
    <col min="4" max="4" width="12.8984375" customWidth="1"/>
    <col min="5" max="5" width="13.69921875" customWidth="1"/>
    <col min="6" max="6" width="15.3984375" customWidth="1"/>
    <col min="7" max="7" width="17.8984375" customWidth="1"/>
    <col min="8" max="9" width="5.19921875" customWidth="1"/>
    <col min="10" max="10" width="17.8984375" customWidth="1"/>
    <col min="11" max="11" width="17" customWidth="1"/>
    <col min="12" max="12" width="18.09765625" customWidth="1"/>
    <col min="13" max="26" width="9.398437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813"/>
      <c r="C2" s="644"/>
      <c r="D2" s="644"/>
      <c r="E2" s="644"/>
      <c r="F2" s="644"/>
      <c r="G2" s="644"/>
      <c r="H2" s="644"/>
      <c r="I2" s="644"/>
      <c r="J2" s="644"/>
      <c r="K2" s="644"/>
      <c r="L2" s="645"/>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815"/>
      <c r="C4" s="644"/>
      <c r="D4" s="645"/>
      <c r="E4" s="1"/>
      <c r="F4" s="1"/>
      <c r="G4" s="1"/>
      <c r="H4" s="1"/>
      <c r="I4" s="1"/>
      <c r="J4" s="1"/>
      <c r="K4" s="1"/>
      <c r="L4" s="1"/>
      <c r="M4" s="1"/>
      <c r="N4" s="1"/>
      <c r="O4" s="1"/>
      <c r="P4" s="1"/>
      <c r="Q4" s="1"/>
      <c r="R4" s="1"/>
      <c r="S4" s="1"/>
      <c r="T4" s="1"/>
      <c r="U4" s="1"/>
      <c r="V4" s="1"/>
      <c r="W4" s="1"/>
      <c r="X4" s="1"/>
      <c r="Y4" s="1"/>
      <c r="Z4" s="1"/>
    </row>
    <row r="5" spans="1:26" ht="14.25" customHeight="1">
      <c r="A5" s="1"/>
      <c r="B5" s="814"/>
      <c r="C5" s="644"/>
      <c r="D5" s="645"/>
      <c r="E5" s="1"/>
      <c r="F5" s="1"/>
      <c r="G5" s="1"/>
      <c r="H5" s="1"/>
      <c r="I5" s="1"/>
      <c r="J5" s="1"/>
      <c r="K5" s="1"/>
      <c r="L5" s="1"/>
      <c r="M5" s="1"/>
      <c r="N5" s="1"/>
      <c r="O5" s="1"/>
      <c r="P5" s="1"/>
      <c r="Q5" s="1"/>
      <c r="R5" s="1"/>
      <c r="S5" s="1"/>
      <c r="T5" s="1"/>
      <c r="U5" s="1"/>
      <c r="V5" s="1"/>
      <c r="W5" s="1"/>
      <c r="X5" s="1"/>
      <c r="Y5" s="1"/>
      <c r="Z5" s="1"/>
    </row>
    <row r="6" spans="1:26" ht="14.25" customHeight="1">
      <c r="A6" s="1"/>
      <c r="B6" s="814"/>
      <c r="C6" s="644"/>
      <c r="D6" s="645"/>
      <c r="E6" s="1"/>
      <c r="F6" s="1"/>
      <c r="G6" s="1"/>
      <c r="H6" s="1"/>
      <c r="I6" s="1"/>
      <c r="J6" s="1"/>
      <c r="K6" s="1"/>
      <c r="L6" s="1"/>
      <c r="M6" s="1"/>
      <c r="N6" s="1"/>
      <c r="O6" s="1"/>
      <c r="P6" s="1"/>
      <c r="Q6" s="1"/>
      <c r="R6" s="1"/>
      <c r="S6" s="1"/>
      <c r="T6" s="1"/>
      <c r="U6" s="1"/>
      <c r="V6" s="1"/>
      <c r="W6" s="1"/>
      <c r="X6" s="1"/>
      <c r="Y6" s="1"/>
      <c r="Z6" s="1"/>
    </row>
    <row r="7" spans="1:26" ht="14.25" customHeight="1">
      <c r="A7" s="1"/>
      <c r="B7" s="814"/>
      <c r="C7" s="644"/>
      <c r="D7" s="645"/>
      <c r="E7" s="1"/>
      <c r="F7" s="1"/>
      <c r="G7" s="1"/>
      <c r="H7" s="1"/>
      <c r="I7" s="1"/>
      <c r="J7" s="1"/>
      <c r="K7" s="1"/>
      <c r="L7" s="1"/>
      <c r="M7" s="1"/>
      <c r="N7" s="1"/>
      <c r="O7" s="1"/>
      <c r="P7" s="1"/>
      <c r="Q7" s="1"/>
      <c r="R7" s="1"/>
      <c r="S7" s="1"/>
      <c r="T7" s="1"/>
      <c r="U7" s="1"/>
      <c r="V7" s="1"/>
      <c r="W7" s="1"/>
      <c r="X7" s="1"/>
      <c r="Y7" s="1"/>
      <c r="Z7" s="1"/>
    </row>
    <row r="8" spans="1:26" ht="14.4" customHeight="1">
      <c r="A8" s="1"/>
      <c r="B8" s="1"/>
      <c r="C8" s="1"/>
      <c r="D8" s="1"/>
      <c r="E8" s="1"/>
      <c r="F8" s="1"/>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619"/>
      <c r="C10" s="620"/>
      <c r="D10" s="620"/>
      <c r="E10" s="620"/>
      <c r="F10" s="620"/>
      <c r="G10" s="621"/>
      <c r="H10" s="1"/>
      <c r="J10" s="1"/>
      <c r="K10" s="1"/>
      <c r="L10" s="1"/>
      <c r="M10" s="1"/>
      <c r="N10" s="1"/>
      <c r="O10" s="1"/>
      <c r="P10" s="1"/>
      <c r="Q10" s="1"/>
      <c r="R10" s="1"/>
      <c r="S10" s="1"/>
      <c r="T10" s="1"/>
      <c r="U10" s="1"/>
      <c r="V10" s="1"/>
      <c r="W10" s="1"/>
      <c r="X10" s="1"/>
      <c r="Y10" s="1"/>
      <c r="Z10" s="1"/>
    </row>
    <row r="11" spans="1:26" ht="14.25" customHeight="1">
      <c r="A11" s="1"/>
      <c r="B11" s="782"/>
      <c r="C11" s="621"/>
      <c r="D11" s="361"/>
      <c r="E11" s="362"/>
      <c r="F11" s="362"/>
      <c r="G11" s="363"/>
      <c r="H11" s="1"/>
      <c r="I11" s="810"/>
      <c r="J11" s="644"/>
      <c r="K11" s="644"/>
      <c r="L11" s="645"/>
      <c r="M11" s="1"/>
      <c r="N11" s="1"/>
      <c r="O11" s="1"/>
      <c r="P11" s="1"/>
      <c r="Q11" s="1"/>
      <c r="R11" s="1"/>
      <c r="S11" s="1"/>
      <c r="T11" s="1"/>
      <c r="U11" s="1"/>
      <c r="V11" s="1"/>
      <c r="W11" s="1"/>
      <c r="X11" s="1"/>
      <c r="Y11" s="1"/>
      <c r="Z11" s="1"/>
    </row>
    <row r="12" spans="1:26" ht="14.25" customHeight="1">
      <c r="A12" s="1"/>
      <c r="B12" s="805"/>
      <c r="C12" s="673"/>
      <c r="D12" s="435"/>
      <c r="E12" s="203"/>
      <c r="F12" s="451"/>
      <c r="G12" s="436"/>
      <c r="H12" s="1"/>
      <c r="I12" s="812"/>
      <c r="J12" s="806"/>
      <c r="K12" s="806"/>
      <c r="L12" s="806"/>
      <c r="M12" s="1"/>
      <c r="N12" s="1"/>
      <c r="O12" s="1"/>
      <c r="P12" s="1"/>
      <c r="Q12" s="1"/>
      <c r="R12" s="1"/>
      <c r="S12" s="1"/>
      <c r="T12" s="1"/>
      <c r="U12" s="1"/>
      <c r="V12" s="1"/>
      <c r="W12" s="1"/>
      <c r="X12" s="1"/>
      <c r="Y12" s="1"/>
      <c r="Z12" s="1"/>
    </row>
    <row r="13" spans="1:26" ht="14.25" customHeight="1">
      <c r="A13" s="1"/>
      <c r="B13" s="780"/>
      <c r="C13" s="370"/>
      <c r="D13" s="371"/>
      <c r="E13" s="203"/>
      <c r="F13" s="203"/>
      <c r="G13" s="203"/>
      <c r="H13" s="1"/>
      <c r="I13" s="807"/>
      <c r="J13" s="807"/>
      <c r="K13" s="807"/>
      <c r="L13" s="807"/>
      <c r="M13" s="1"/>
      <c r="N13" s="1"/>
      <c r="O13" s="1"/>
      <c r="P13" s="1"/>
      <c r="Q13" s="1"/>
      <c r="R13" s="1"/>
      <c r="S13" s="1"/>
      <c r="T13" s="1"/>
      <c r="U13" s="1"/>
      <c r="V13" s="1"/>
      <c r="W13" s="1"/>
      <c r="X13" s="1"/>
      <c r="Y13" s="1"/>
      <c r="Z13" s="1"/>
    </row>
    <row r="14" spans="1:26" ht="14.25" customHeight="1">
      <c r="A14" s="1"/>
      <c r="B14" s="686"/>
      <c r="C14" s="370"/>
      <c r="D14" s="371"/>
      <c r="E14" s="203"/>
      <c r="F14" s="436"/>
      <c r="G14" s="451"/>
      <c r="H14" s="1"/>
      <c r="I14" s="808"/>
      <c r="J14" s="808"/>
      <c r="K14" s="808"/>
      <c r="L14" s="808"/>
      <c r="M14" s="1"/>
      <c r="N14" s="1"/>
      <c r="O14" s="1"/>
      <c r="P14" s="1"/>
      <c r="Q14" s="1"/>
      <c r="R14" s="1"/>
      <c r="S14" s="1"/>
      <c r="T14" s="1"/>
      <c r="U14" s="1"/>
      <c r="V14" s="1"/>
      <c r="W14" s="1"/>
      <c r="X14" s="1"/>
      <c r="Y14" s="1"/>
      <c r="Z14" s="1"/>
    </row>
    <row r="15" spans="1:26" ht="14.25" customHeight="1">
      <c r="A15" s="1"/>
      <c r="B15" s="761"/>
      <c r="C15" s="372"/>
      <c r="D15" s="373"/>
      <c r="E15" s="203"/>
      <c r="F15" s="203"/>
      <c r="G15" s="203"/>
      <c r="H15" s="1"/>
      <c r="I15" s="1"/>
      <c r="J15" s="1"/>
      <c r="K15" s="275"/>
      <c r="L15" s="275"/>
      <c r="M15" s="1"/>
      <c r="N15" s="1"/>
      <c r="O15" s="1"/>
      <c r="P15" s="1"/>
      <c r="Q15" s="1"/>
      <c r="R15" s="1"/>
      <c r="S15" s="1"/>
      <c r="T15" s="1"/>
      <c r="U15" s="1"/>
      <c r="V15" s="1"/>
      <c r="W15" s="1"/>
      <c r="X15" s="1"/>
      <c r="Y15" s="1"/>
      <c r="Z15" s="1"/>
    </row>
    <row r="16" spans="1:26" ht="14.25" customHeight="1">
      <c r="A16" s="1"/>
      <c r="B16" s="804"/>
      <c r="C16" s="621"/>
      <c r="D16" s="438"/>
      <c r="E16" s="439"/>
      <c r="F16" s="439"/>
      <c r="G16" s="439"/>
      <c r="H16" s="1"/>
      <c r="I16" s="1"/>
      <c r="J16" s="1"/>
      <c r="K16" s="1"/>
      <c r="L16" s="1"/>
      <c r="M16" s="1"/>
      <c r="N16" s="1"/>
      <c r="O16" s="1"/>
      <c r="P16" s="1"/>
      <c r="Q16" s="1"/>
      <c r="R16" s="1"/>
      <c r="S16" s="1"/>
      <c r="T16" s="1"/>
      <c r="U16" s="1"/>
      <c r="V16" s="1"/>
      <c r="W16" s="1"/>
      <c r="X16" s="1"/>
      <c r="Y16" s="1"/>
      <c r="Z16" s="1"/>
    </row>
    <row r="17" spans="1:26" ht="14.25" customHeight="1">
      <c r="A17" s="1"/>
      <c r="B17" s="440"/>
      <c r="C17" s="441"/>
      <c r="D17" s="435"/>
      <c r="E17" s="442"/>
      <c r="F17" s="442"/>
      <c r="G17" s="443"/>
      <c r="H17" s="1"/>
      <c r="I17" s="816"/>
      <c r="J17" s="620"/>
      <c r="K17" s="620"/>
      <c r="L17" s="621"/>
      <c r="M17" s="1"/>
      <c r="N17" s="1"/>
      <c r="O17" s="1"/>
      <c r="P17" s="1"/>
      <c r="Q17" s="1"/>
      <c r="R17" s="1"/>
      <c r="S17" s="1"/>
      <c r="T17" s="1"/>
      <c r="U17" s="1"/>
      <c r="V17" s="1"/>
      <c r="W17" s="1"/>
      <c r="X17" s="1"/>
      <c r="Y17" s="1"/>
      <c r="Z17" s="1"/>
    </row>
    <row r="18" spans="1:26" ht="14.25" customHeight="1">
      <c r="A18" s="1"/>
      <c r="B18" s="811"/>
      <c r="C18" s="649"/>
      <c r="D18" s="371"/>
      <c r="E18" s="290"/>
      <c r="F18" s="290"/>
      <c r="G18" s="290"/>
      <c r="H18" s="1"/>
      <c r="I18" s="817"/>
      <c r="J18" s="633"/>
      <c r="K18" s="633"/>
      <c r="L18" s="639"/>
      <c r="M18" s="1"/>
      <c r="N18" s="1"/>
      <c r="O18" s="1"/>
      <c r="P18" s="1"/>
      <c r="Q18" s="1"/>
      <c r="R18" s="1"/>
      <c r="S18" s="1"/>
      <c r="T18" s="1"/>
      <c r="U18" s="1"/>
      <c r="V18" s="1"/>
      <c r="W18" s="1"/>
      <c r="X18" s="1"/>
      <c r="Y18" s="1"/>
      <c r="Z18" s="1"/>
    </row>
    <row r="19" spans="1:26" ht="14.25" customHeight="1">
      <c r="A19" s="1"/>
      <c r="B19" s="809"/>
      <c r="C19" s="669"/>
      <c r="D19" s="373"/>
      <c r="E19" s="444"/>
      <c r="F19" s="444"/>
      <c r="G19" s="307"/>
      <c r="H19" s="1"/>
      <c r="I19" s="638"/>
      <c r="J19" s="633"/>
      <c r="K19" s="633"/>
      <c r="L19" s="639"/>
      <c r="M19" s="1"/>
      <c r="N19" s="1"/>
      <c r="O19" s="1"/>
      <c r="P19" s="1"/>
      <c r="Q19" s="1"/>
      <c r="R19" s="1"/>
      <c r="S19" s="1"/>
      <c r="T19" s="1"/>
      <c r="U19" s="1"/>
      <c r="V19" s="1"/>
      <c r="W19" s="1"/>
      <c r="X19" s="1"/>
      <c r="Y19" s="1"/>
      <c r="Z19" s="1"/>
    </row>
    <row r="20" spans="1:26" ht="14.25" customHeight="1">
      <c r="A20" s="1"/>
      <c r="B20" s="804"/>
      <c r="C20" s="621"/>
      <c r="D20" s="438"/>
      <c r="E20" s="439"/>
      <c r="F20" s="439"/>
      <c r="G20" s="439"/>
      <c r="H20" s="1"/>
      <c r="I20" s="638"/>
      <c r="J20" s="633"/>
      <c r="K20" s="633"/>
      <c r="L20" s="639"/>
      <c r="M20" s="1"/>
      <c r="N20" s="1"/>
      <c r="O20" s="1"/>
      <c r="P20" s="1"/>
      <c r="Q20" s="1"/>
      <c r="R20" s="1"/>
      <c r="S20" s="1"/>
      <c r="T20" s="1"/>
      <c r="U20" s="1"/>
      <c r="V20" s="1"/>
      <c r="W20" s="1"/>
      <c r="X20" s="1"/>
      <c r="Y20" s="1"/>
      <c r="Z20" s="1"/>
    </row>
    <row r="21" spans="1:26" ht="14.25" customHeight="1">
      <c r="A21" s="1"/>
      <c r="B21" s="781"/>
      <c r="C21" s="639"/>
      <c r="D21" s="384"/>
      <c r="E21" s="385"/>
      <c r="F21" s="445"/>
      <c r="G21" s="386"/>
      <c r="H21" s="1"/>
      <c r="I21" s="638"/>
      <c r="J21" s="633"/>
      <c r="K21" s="633"/>
      <c r="L21" s="639"/>
      <c r="M21" s="1"/>
      <c r="N21" s="1"/>
      <c r="O21" s="1"/>
      <c r="P21" s="1"/>
      <c r="Q21" s="1"/>
      <c r="R21" s="1"/>
      <c r="S21" s="1"/>
      <c r="T21" s="1"/>
      <c r="U21" s="1"/>
      <c r="V21" s="1"/>
      <c r="W21" s="1"/>
      <c r="X21" s="1"/>
      <c r="Y21" s="1"/>
      <c r="Z21" s="1"/>
    </row>
    <row r="22" spans="1:26" ht="14.25" customHeight="1">
      <c r="A22" s="1"/>
      <c r="B22" s="803"/>
      <c r="C22" s="621"/>
      <c r="D22" s="446"/>
      <c r="E22" s="447"/>
      <c r="F22" s="447"/>
      <c r="G22" s="447"/>
      <c r="H22" s="1"/>
      <c r="I22" s="638"/>
      <c r="J22" s="633"/>
      <c r="K22" s="633"/>
      <c r="L22" s="639"/>
      <c r="M22" s="1"/>
      <c r="N22" s="1"/>
      <c r="O22" s="1"/>
      <c r="P22" s="1"/>
      <c r="Q22" s="1"/>
      <c r="R22" s="1"/>
      <c r="S22" s="1"/>
      <c r="T22" s="1"/>
      <c r="U22" s="1"/>
      <c r="V22" s="1"/>
      <c r="W22" s="1"/>
      <c r="X22" s="1"/>
      <c r="Y22" s="1"/>
      <c r="Z22" s="1"/>
    </row>
    <row r="23" spans="1:26" ht="14.25" customHeight="1">
      <c r="A23" s="1"/>
      <c r="B23" s="1"/>
      <c r="C23" s="1"/>
      <c r="D23" s="1"/>
      <c r="E23" s="1"/>
      <c r="F23" s="1"/>
      <c r="G23" s="1"/>
      <c r="H23" s="1"/>
      <c r="I23" s="638"/>
      <c r="J23" s="633"/>
      <c r="K23" s="633"/>
      <c r="L23" s="639"/>
      <c r="M23" s="1"/>
      <c r="N23" s="1"/>
      <c r="O23" s="1"/>
      <c r="P23" s="1"/>
      <c r="Q23" s="1"/>
      <c r="R23" s="1"/>
      <c r="S23" s="1"/>
      <c r="T23" s="1"/>
      <c r="U23" s="1"/>
      <c r="V23" s="1"/>
      <c r="W23" s="1"/>
      <c r="X23" s="1"/>
      <c r="Y23" s="1"/>
      <c r="Z23" s="1"/>
    </row>
    <row r="24" spans="1:26" ht="14.25" customHeight="1">
      <c r="A24" s="1"/>
      <c r="B24" s="1"/>
      <c r="C24" s="1"/>
      <c r="D24" s="1"/>
      <c r="E24" s="1"/>
      <c r="F24" s="1"/>
      <c r="G24" s="1"/>
      <c r="H24" s="1"/>
      <c r="I24" s="638"/>
      <c r="J24" s="633"/>
      <c r="K24" s="633"/>
      <c r="L24" s="639"/>
      <c r="M24" s="1"/>
      <c r="N24" s="1"/>
      <c r="O24" s="1"/>
      <c r="P24" s="1"/>
      <c r="Q24" s="1"/>
      <c r="R24" s="1"/>
      <c r="S24" s="1"/>
      <c r="T24" s="1"/>
      <c r="U24" s="1"/>
      <c r="V24" s="1"/>
      <c r="W24" s="1"/>
      <c r="X24" s="1"/>
      <c r="Y24" s="1"/>
      <c r="Z24" s="1"/>
    </row>
    <row r="25" spans="1:26" ht="14.25" customHeight="1">
      <c r="A25" s="1"/>
      <c r="B25" s="1"/>
      <c r="C25" s="1"/>
      <c r="D25" s="1"/>
      <c r="E25" s="1"/>
      <c r="F25" s="1"/>
      <c r="G25" s="1"/>
      <c r="H25" s="1"/>
      <c r="I25" s="638"/>
      <c r="J25" s="633"/>
      <c r="K25" s="633"/>
      <c r="L25" s="639"/>
      <c r="M25" s="1"/>
      <c r="N25" s="1"/>
      <c r="O25" s="1"/>
      <c r="P25" s="1"/>
      <c r="Q25" s="1"/>
      <c r="R25" s="1"/>
      <c r="S25" s="1"/>
      <c r="T25" s="1"/>
      <c r="U25" s="1"/>
      <c r="V25" s="1"/>
      <c r="W25" s="1"/>
      <c r="X25" s="1"/>
      <c r="Y25" s="1"/>
      <c r="Z25" s="1"/>
    </row>
    <row r="26" spans="1:26" ht="14.25" customHeight="1">
      <c r="A26" s="1"/>
      <c r="B26" s="1"/>
      <c r="C26" s="1"/>
      <c r="D26" s="1"/>
      <c r="E26" s="400"/>
      <c r="F26" s="448"/>
      <c r="G26" s="1"/>
      <c r="H26" s="1"/>
      <c r="I26" s="638"/>
      <c r="J26" s="633"/>
      <c r="K26" s="633"/>
      <c r="L26" s="639"/>
      <c r="M26" s="1"/>
      <c r="N26" s="1"/>
      <c r="O26" s="1"/>
      <c r="P26" s="1"/>
      <c r="Q26" s="1"/>
      <c r="R26" s="1"/>
      <c r="S26" s="1"/>
      <c r="T26" s="1"/>
      <c r="U26" s="1"/>
      <c r="V26" s="1"/>
      <c r="W26" s="1"/>
      <c r="X26" s="1"/>
      <c r="Y26" s="1"/>
      <c r="Z26" s="1"/>
    </row>
    <row r="27" spans="1:26" ht="14.25" customHeight="1">
      <c r="A27" s="1"/>
      <c r="B27" s="1"/>
      <c r="C27" s="1"/>
      <c r="D27" s="1"/>
      <c r="E27" s="403"/>
      <c r="F27" s="404"/>
      <c r="G27" s="1"/>
      <c r="H27" s="1"/>
      <c r="I27" s="638"/>
      <c r="J27" s="633"/>
      <c r="K27" s="633"/>
      <c r="L27" s="639"/>
      <c r="M27" s="1"/>
      <c r="N27" s="1"/>
      <c r="O27" s="1"/>
      <c r="P27" s="1"/>
      <c r="Q27" s="1"/>
      <c r="R27" s="1"/>
      <c r="S27" s="1"/>
      <c r="T27" s="1"/>
      <c r="U27" s="1"/>
      <c r="V27" s="1"/>
      <c r="W27" s="1"/>
      <c r="X27" s="1"/>
      <c r="Y27" s="1"/>
      <c r="Z27" s="1"/>
    </row>
    <row r="28" spans="1:26" ht="14.25" customHeight="1">
      <c r="A28" s="1"/>
      <c r="B28" s="1"/>
      <c r="C28" s="1"/>
      <c r="D28" s="1"/>
      <c r="E28" s="406"/>
      <c r="F28" s="449"/>
      <c r="G28" s="1"/>
      <c r="H28" s="1"/>
      <c r="I28" s="638"/>
      <c r="J28" s="633"/>
      <c r="K28" s="633"/>
      <c r="L28" s="639"/>
      <c r="M28" s="1"/>
      <c r="N28" s="1"/>
      <c r="O28" s="1"/>
      <c r="P28" s="1"/>
      <c r="Q28" s="1"/>
      <c r="R28" s="1"/>
      <c r="S28" s="1"/>
      <c r="T28" s="1"/>
      <c r="U28" s="1"/>
      <c r="V28" s="1"/>
      <c r="W28" s="1"/>
      <c r="X28" s="1"/>
      <c r="Y28" s="1"/>
      <c r="Z28" s="1"/>
    </row>
    <row r="29" spans="1:26" ht="50.25" customHeight="1">
      <c r="A29" s="1"/>
      <c r="B29" s="1"/>
      <c r="C29" s="1"/>
      <c r="D29" s="1"/>
      <c r="E29" s="1"/>
      <c r="F29" s="1"/>
      <c r="G29" s="1"/>
      <c r="H29" s="1"/>
      <c r="I29" s="640"/>
      <c r="J29" s="641"/>
      <c r="K29" s="641"/>
      <c r="L29" s="642"/>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sheetData>
  <mergeCells count="22">
    <mergeCell ref="B16:C16"/>
    <mergeCell ref="I17:L17"/>
    <mergeCell ref="B22:C22"/>
    <mergeCell ref="B18:C18"/>
    <mergeCell ref="B12:C12"/>
    <mergeCell ref="B21:C21"/>
    <mergeCell ref="J12:J14"/>
    <mergeCell ref="B19:C19"/>
    <mergeCell ref="L12:L14"/>
    <mergeCell ref="B20:C20"/>
    <mergeCell ref="B13:B15"/>
    <mergeCell ref="I12:I14"/>
    <mergeCell ref="K12:K14"/>
    <mergeCell ref="I18:L29"/>
    <mergeCell ref="B10:G10"/>
    <mergeCell ref="B11:C11"/>
    <mergeCell ref="B2:L2"/>
    <mergeCell ref="B6:D6"/>
    <mergeCell ref="I11:L11"/>
    <mergeCell ref="B5:D5"/>
    <mergeCell ref="B4:D4"/>
    <mergeCell ref="B7:D7"/>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Portada</vt:lpstr>
      <vt:lpstr>Indice</vt:lpstr>
      <vt:lpstr>Hipótesis</vt:lpstr>
      <vt:lpstr>Proy. ventas</vt:lpstr>
      <vt:lpstr>Anexo capacidad operativa</vt:lpstr>
      <vt:lpstr>Mod. ingresos</vt:lpstr>
      <vt:lpstr>Costos fijos</vt:lpstr>
      <vt:lpstr>Costos variables</vt:lpstr>
      <vt:lpstr>Costos RRHH</vt:lpstr>
      <vt:lpstr>Mod. egresos</vt:lpstr>
      <vt:lpstr>Mod. inversión</vt:lpstr>
      <vt:lpstr>Amortizaciones</vt:lpstr>
      <vt:lpstr>Presupuesto financiero</vt:lpstr>
      <vt:lpstr>Estructura</vt:lpstr>
      <vt:lpstr>Riesgos</vt:lpstr>
      <vt:lpstr>Matriz de riesgos</vt:lpstr>
      <vt:lpstr>Cuadro de evaluación de riesgos</vt:lpstr>
      <vt:lpstr>Escenario 1</vt:lpstr>
      <vt:lpstr>Escenario 2</vt:lpstr>
      <vt:lpstr>Escenario 3</vt:lpstr>
      <vt:lpstr>Plan de Contingencia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dc:creator>
  <cp:lastModifiedBy>Gomez Avellaneda, Javier Alejandro</cp:lastModifiedBy>
  <dcterms:created xsi:type="dcterms:W3CDTF">2026-08-25T21:11:59Z</dcterms:created>
  <dcterms:modified xsi:type="dcterms:W3CDTF">2026-09-04T19:18:42Z</dcterms:modified>
</cp:coreProperties>
</file>